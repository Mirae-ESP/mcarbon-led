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100" windowWidth="30045" windowHeight="17400" tabRatio="600" firstSheet="0" activeTab="0" autoFilterDateGrouping="1"/>
  </bookViews>
  <sheets>
    <sheet xmlns:r="http://schemas.openxmlformats.org/officeDocument/2006/relationships" name="제안 요약" sheetId="1" state="visible" r:id="rId1"/>
    <sheet xmlns:r="http://schemas.openxmlformats.org/officeDocument/2006/relationships" name="절감 산출" sheetId="2" state="visible" r:id="rId2"/>
  </sheets>
  <definedNames>
    <definedName name="_xlnm.Print_Area" localSheetId="0">'제안 요약'!$A$1:$J$31</definedName>
    <definedName name="_xlnm.Print_Area" localSheetId="1">'절감 산출'!$A$1:$J$42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_-;\-* #,##0_-;_-* &quot;-&quot;_-;_-@_-"/>
    <numFmt numFmtId="165" formatCode="_-[$₩-412]* #,##0_-;\-[$₩-412]* #,##0_-;_-[$₩-412]* &quot;-&quot;??_-;_-@_-"/>
    <numFmt numFmtId="166" formatCode="_-* #,##0.00_-;\-* #,##0.00_-;_-* &quot;-&quot;??_-;_-@_-"/>
    <numFmt numFmtId="167" formatCode="0&quot;년차&quot;"/>
    <numFmt numFmtId="168" formatCode="#,##0&quot; kWh&quot;"/>
    <numFmt numFmtId="169" formatCode="#,##0&quot;원&quot;"/>
    <numFmt numFmtId="170" formatCode="0&quot; lm/W&quot;"/>
    <numFmt numFmtId="171" formatCode="0.0%"/>
    <numFmt numFmtId="172" formatCode="0&quot;배&quot;"/>
    <numFmt numFmtId="173" formatCode="0&quot;회&quot;"/>
    <numFmt numFmtId="174" formatCode="0&quot; W&quot;"/>
    <numFmt numFmtId="175" formatCode="0&quot; 시간&quot;"/>
    <numFmt numFmtId="176" formatCode="&quot;총 &quot;#,##0&quot;원&quot;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뫼비우스 Regular"/>
      <charset val="129"/>
      <family val="3"/>
      <color theme="1"/>
      <sz val="11"/>
    </font>
    <font>
      <name val="뫼비우스 Regular"/>
      <charset val="129"/>
      <family val="3"/>
      <color theme="0"/>
      <sz val="11"/>
    </font>
    <font>
      <name val="뫼비우스 Regular"/>
      <charset val="129"/>
      <family val="3"/>
      <sz val="11"/>
    </font>
    <font>
      <name val="뫼비우스 Regular"/>
      <charset val="129"/>
      <family val="3"/>
      <color rgb="FFFF0000"/>
      <sz val="11"/>
    </font>
    <font>
      <name val="맑은 고딕"/>
      <color rgb="0015241D"/>
      <sz val="10"/>
    </font>
    <font>
      <name val="맑은 고딕"/>
      <b val="1"/>
      <color rgb="000F4A35"/>
      <sz val="13"/>
    </font>
    <font>
      <name val="맑은 고딕"/>
      <color rgb="005D6E66"/>
      <sz val="10"/>
    </font>
    <font>
      <name val="맑은 고딕"/>
      <b val="1"/>
      <color rgb="0015241D"/>
      <sz val="10"/>
    </font>
    <font>
      <name val="맑은 고딕"/>
      <b val="1"/>
      <color rgb="000F4A35"/>
      <sz val="10"/>
    </font>
    <font>
      <name val="맑은 고딕"/>
      <b val="1"/>
      <color rgb="00FFFFFF"/>
      <sz val="10"/>
    </font>
    <font>
      <name val="맑은 고딕"/>
      <b val="1"/>
      <color rgb="002F8F62"/>
      <sz val="10"/>
    </font>
    <font>
      <name val="맑은 고딕"/>
      <b val="1"/>
      <color rgb="0015241D"/>
      <sz val="11"/>
    </font>
    <font>
      <name val="맑은 고딕"/>
      <b val="1"/>
      <color rgb="000F4A35"/>
      <sz val="12"/>
    </font>
    <font>
      <name val="맑은 고딕"/>
      <b val="1"/>
      <color rgb="000F4A35"/>
      <sz val="18"/>
    </font>
    <font>
      <name val="맑은 고딕"/>
      <color rgb="005D6E66"/>
      <sz val="9"/>
    </font>
    <font>
      <name val="맑은 고딕"/>
      <b val="1"/>
      <color rgb="000F4A35"/>
      <sz val="15"/>
    </font>
    <font>
      <name val="맑은 고딕"/>
      <color rgb="00BFD6CB"/>
      <sz val="10"/>
    </font>
    <font>
      <name val="맑은 고딕"/>
      <b val="1"/>
      <color rgb="007ED957"/>
      <sz val="24"/>
    </font>
    <font>
      <name val="맑은 고딕"/>
      <color rgb="00BFD6CB"/>
      <sz val="9"/>
    </font>
    <font>
      <name val="Arial"/>
      <color rgb="002F8F62"/>
      <sz val="9"/>
    </font>
    <font>
      <name val="맑은 고딕"/>
      <b val="1"/>
      <color rgb="000F4A35"/>
      <sz val="11"/>
    </font>
    <font>
      <name val="맑은 고딕"/>
      <b val="1"/>
      <color rgb="000F4A35"/>
      <sz val="9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0F4A35"/>
      </patternFill>
    </fill>
    <fill>
      <patternFill patternType="solid">
        <fgColor rgb="00F6F9F7"/>
      </patternFill>
    </fill>
    <fill>
      <patternFill patternType="solid">
        <fgColor rgb="0016624A"/>
      </patternFill>
    </fill>
    <fill>
      <patternFill patternType="solid">
        <fgColor rgb="00EAF3EE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bottom style="medium">
        <color rgb="000F4A35"/>
      </bottom>
    </border>
    <border>
      <bottom style="thin">
        <color rgb="00D9E2D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top style="medium">
        <color rgb="000F4A35"/>
      </top>
      <bottom style="medium">
        <color rgb="000F4A35"/>
      </bottom>
    </border>
    <border>
      <top style="thin">
        <color rgb="002F8F62"/>
      </top>
    </border>
    <border>
      <bottom style="thin">
        <color rgb="002F8F62"/>
      </bottom>
    </border>
    <border>
      <top style="medium">
        <color rgb="000F4A35"/>
      </top>
    </border>
    <border>
      <top style="thin">
        <color rgb="00D9E2DC"/>
      </top>
      <bottom style="thin">
        <color rgb="00D9E2DC"/>
      </bottom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4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0" fontId="3" fillId="5" borderId="7" applyAlignment="1" pivotButton="0" quotePrefix="0" xfId="0">
      <alignment vertical="center"/>
    </xf>
    <xf numFmtId="165" fontId="3" fillId="5" borderId="9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164" fontId="3" fillId="4" borderId="7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164" fontId="3" fillId="0" borderId="3" applyAlignment="1" pivotButton="0" quotePrefix="0" xfId="1">
      <alignment vertical="center"/>
    </xf>
    <xf numFmtId="0" fontId="3" fillId="0" borderId="4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0" fontId="3" fillId="0" borderId="5" applyAlignment="1" pivotButton="0" quotePrefix="0" xfId="0">
      <alignment vertical="center"/>
    </xf>
    <xf numFmtId="164" fontId="3" fillId="0" borderId="6" applyAlignment="1" pivotButton="0" quotePrefix="0" xfId="1">
      <alignment vertical="center"/>
    </xf>
    <xf numFmtId="164" fontId="4" fillId="7" borderId="0" applyAlignment="1" pivotButton="0" quotePrefix="0" xfId="1">
      <alignment vertical="center"/>
    </xf>
    <xf numFmtId="0" fontId="4" fillId="7" borderId="5" applyAlignment="1" pivotButton="0" quotePrefix="0" xfId="0">
      <alignment vertical="center"/>
    </xf>
    <xf numFmtId="164" fontId="4" fillId="7" borderId="6" applyAlignment="1" pivotButton="0" quotePrefix="0" xfId="1">
      <alignment vertical="center"/>
    </xf>
    <xf numFmtId="0" fontId="4" fillId="7" borderId="4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164" fontId="3" fillId="0" borderId="8" applyAlignment="1" pivotButton="0" quotePrefix="0" xfId="0">
      <alignment horizontal="center" vertical="center"/>
    </xf>
    <xf numFmtId="9" fontId="4" fillId="7" borderId="8" applyAlignment="1" pivotButton="0" quotePrefix="0" xfId="0">
      <alignment vertical="center"/>
    </xf>
    <xf numFmtId="164" fontId="3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164" fontId="4" fillId="0" borderId="8" applyAlignment="1" pivotButton="0" quotePrefix="0" xfId="0">
      <alignment vertical="center"/>
    </xf>
    <xf numFmtId="164" fontId="5" fillId="0" borderId="8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5" fontId="6" fillId="5" borderId="0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3" fillId="6" borderId="10" applyAlignment="1" pivotButton="0" quotePrefix="0" xfId="0">
      <alignment horizontal="center" vertical="center"/>
    </xf>
    <xf numFmtId="0" fontId="3" fillId="6" borderId="11" applyAlignment="1" pivotButton="0" quotePrefix="0" xfId="0">
      <alignment horizontal="center" vertical="center"/>
    </xf>
    <xf numFmtId="0" fontId="4" fillId="7" borderId="8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3" fillId="2" borderId="1" applyAlignment="1" pivotButton="0" quotePrefix="0" xfId="1">
      <alignment vertical="center"/>
    </xf>
    <xf numFmtId="9" fontId="3" fillId="3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9" fontId="3" fillId="0" borderId="0" applyAlignment="1" pivotButton="0" quotePrefix="0" xfId="2">
      <alignment vertical="center"/>
    </xf>
    <xf numFmtId="164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0" fillId="0" borderId="0" pivotButton="0" quotePrefix="0" xfId="0"/>
    <xf numFmtId="0" fontId="16" fillId="0" borderId="0" applyAlignment="1" pivotButton="0" quotePrefix="0" xfId="0">
      <alignment vertical="center"/>
    </xf>
    <xf numFmtId="0" fontId="9" fillId="0" borderId="19" applyAlignment="1" pivotButton="0" quotePrefix="0" xfId="0">
      <alignment vertical="center"/>
    </xf>
    <xf numFmtId="0" fontId="0" fillId="0" borderId="19" pivotButton="0" quotePrefix="0" xfId="0"/>
    <xf numFmtId="0" fontId="17" fillId="11" borderId="23" applyAlignment="1" pivotButton="0" quotePrefix="0" xfId="0">
      <alignment horizontal="center" vertical="center"/>
    </xf>
    <xf numFmtId="0" fontId="0" fillId="11" borderId="23" pivotButton="0" quotePrefix="0" xfId="0"/>
    <xf numFmtId="168" fontId="18" fillId="11" borderId="24" applyAlignment="1" pivotButton="0" quotePrefix="0" xfId="0">
      <alignment horizontal="center" vertical="center"/>
    </xf>
    <xf numFmtId="0" fontId="0" fillId="11" borderId="24" pivotButton="0" quotePrefix="0" xfId="0"/>
    <xf numFmtId="169" fontId="18" fillId="11" borderId="24" applyAlignment="1" pivotButton="0" quotePrefix="0" xfId="0">
      <alignment horizontal="center" vertical="center"/>
    </xf>
    <xf numFmtId="171" fontId="18" fillId="11" borderId="24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bottom"/>
    </xf>
    <xf numFmtId="0" fontId="0" fillId="8" borderId="0" pivotButton="0" quotePrefix="0" xfId="0"/>
    <xf numFmtId="176" fontId="20" fillId="8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top"/>
    </xf>
    <xf numFmtId="0" fontId="15" fillId="0" borderId="19" applyAlignment="1" pivotButton="0" quotePrefix="0" xfId="0">
      <alignment vertical="center"/>
    </xf>
    <xf numFmtId="0" fontId="12" fillId="8" borderId="0" applyAlignment="1" pivotButton="0" quotePrefix="0" xfId="0">
      <alignment horizontal="center" vertical="center"/>
    </xf>
    <xf numFmtId="167" fontId="7" fillId="0" borderId="20" applyAlignment="1" pivotButton="0" quotePrefix="0" xfId="0">
      <alignment horizontal="center" vertical="center"/>
    </xf>
    <xf numFmtId="169" fontId="7" fillId="0" borderId="20" applyAlignment="1" pivotButton="0" quotePrefix="0" xfId="0">
      <alignment horizontal="right" vertical="center"/>
    </xf>
    <xf numFmtId="9" fontId="9" fillId="0" borderId="20" applyAlignment="1" pivotButton="0" quotePrefix="0" xfId="0">
      <alignment horizontal="center" vertical="center"/>
    </xf>
    <xf numFmtId="169" fontId="11" fillId="0" borderId="20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0" fontId="0" fillId="0" borderId="20" pivotButton="0" quotePrefix="0" xfId="0"/>
    <xf numFmtId="167" fontId="7" fillId="9" borderId="20" applyAlignment="1" pivotButton="0" quotePrefix="0" xfId="0">
      <alignment horizontal="center" vertical="center"/>
    </xf>
    <xf numFmtId="169" fontId="7" fillId="9" borderId="20" applyAlignment="1" pivotButton="0" quotePrefix="0" xfId="0">
      <alignment horizontal="right" vertical="center"/>
    </xf>
    <xf numFmtId="9" fontId="9" fillId="9" borderId="20" applyAlignment="1" pivotButton="0" quotePrefix="0" xfId="0">
      <alignment horizontal="center" vertical="center"/>
    </xf>
    <xf numFmtId="169" fontId="11" fillId="9" borderId="20" applyAlignment="1" pivotButton="0" quotePrefix="0" xfId="0">
      <alignment horizontal="right" vertical="center"/>
    </xf>
    <xf numFmtId="0" fontId="22" fillId="9" borderId="20" applyAlignment="1" pivotButton="0" quotePrefix="0" xfId="0">
      <alignment horizontal="left" vertical="center"/>
    </xf>
    <xf numFmtId="0" fontId="0" fillId="9" borderId="20" pivotButton="0" quotePrefix="0" xfId="0"/>
    <xf numFmtId="167" fontId="13" fillId="9" borderId="20" applyAlignment="1" pivotButton="0" quotePrefix="0" xfId="0">
      <alignment horizontal="center" vertical="center"/>
    </xf>
    <xf numFmtId="167" fontId="13" fillId="0" borderId="20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169" fontId="10" fillId="0" borderId="25" applyAlignment="1" pivotButton="0" quotePrefix="0" xfId="0">
      <alignment horizontal="right" vertical="center"/>
    </xf>
    <xf numFmtId="0" fontId="0" fillId="0" borderId="25" pivotButton="0" quotePrefix="0" xfId="0"/>
    <xf numFmtId="169" fontId="11" fillId="0" borderId="25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169" fontId="7" fillId="0" borderId="0" applyAlignment="1" pivotButton="0" quotePrefix="0" xfId="0">
      <alignment horizontal="right" vertical="center"/>
    </xf>
    <xf numFmtId="0" fontId="11" fillId="0" borderId="26" applyAlignment="1" pivotButton="0" quotePrefix="0" xfId="0">
      <alignment vertical="center"/>
    </xf>
    <xf numFmtId="0" fontId="0" fillId="0" borderId="26" pivotButton="0" quotePrefix="0" xfId="0"/>
    <xf numFmtId="169" fontId="23" fillId="11" borderId="26" applyAlignment="1" pivotButton="0" quotePrefix="0" xfId="0">
      <alignment horizontal="right" vertical="center"/>
    </xf>
    <xf numFmtId="0" fontId="17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right" vertical="center"/>
    </xf>
    <xf numFmtId="0" fontId="8" fillId="0" borderId="19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9" fillId="0" borderId="20" applyAlignment="1" pivotButton="0" quotePrefix="0" xfId="0">
      <alignment vertical="center"/>
    </xf>
    <xf numFmtId="0" fontId="10" fillId="0" borderId="20" applyAlignment="1" pivotButton="0" quotePrefix="0" xfId="0">
      <alignment horizontal="left" vertical="center"/>
    </xf>
    <xf numFmtId="0" fontId="12" fillId="8" borderId="21" applyAlignment="1" pivotButton="0" quotePrefix="0" xfId="0">
      <alignment horizontal="center" vertical="center"/>
    </xf>
    <xf numFmtId="0" fontId="12" fillId="10" borderId="21" applyAlignment="1" pivotButton="0" quotePrefix="0" xfId="0">
      <alignment horizontal="center" vertical="center"/>
    </xf>
    <xf numFmtId="164" fontId="7" fillId="0" borderId="18" applyAlignment="1" pivotButton="0" quotePrefix="0" xfId="1">
      <alignment vertical="center"/>
    </xf>
    <xf numFmtId="166" fontId="7" fillId="0" borderId="18" applyAlignment="1" pivotButton="0" quotePrefix="0" xfId="0">
      <alignment vertical="center"/>
    </xf>
    <xf numFmtId="174" fontId="10" fillId="0" borderId="20" applyAlignment="1" pivotButton="0" quotePrefix="0" xfId="0">
      <alignment horizontal="right" vertical="center"/>
    </xf>
    <xf numFmtId="175" fontId="10" fillId="0" borderId="20" applyAlignment="1" pivotButton="0" quotePrefix="0" xfId="0">
      <alignment horizontal="right" vertical="center"/>
    </xf>
    <xf numFmtId="169" fontId="7" fillId="0" borderId="20" applyAlignment="1" pivotButton="0" quotePrefix="0" xfId="0">
      <alignment vertical="center"/>
    </xf>
    <xf numFmtId="9" fontId="7" fillId="0" borderId="20" applyAlignment="1" pivotButton="0" quotePrefix="0" xfId="0">
      <alignment horizontal="center" vertical="center"/>
    </xf>
    <xf numFmtId="3" fontId="10" fillId="0" borderId="20" applyAlignment="1" pivotButton="0" quotePrefix="0" xfId="1">
      <alignment horizontal="right" vertical="center"/>
    </xf>
    <xf numFmtId="169" fontId="7" fillId="9" borderId="20" applyAlignment="1" pivotButton="0" quotePrefix="0" xfId="0">
      <alignment vertical="center"/>
    </xf>
    <xf numFmtId="9" fontId="7" fillId="9" borderId="20" applyAlignment="1" pivotButton="0" quotePrefix="0" xfId="0">
      <alignment horizontal="center" vertical="center"/>
    </xf>
    <xf numFmtId="4" fontId="7" fillId="0" borderId="20" applyAlignment="1" pivotButton="0" quotePrefix="0" xfId="0">
      <alignment horizontal="right" vertical="center"/>
    </xf>
    <xf numFmtId="2" fontId="7" fillId="0" borderId="18" applyAlignment="1" pivotButton="0" quotePrefix="0" xfId="0">
      <alignment vertical="center"/>
    </xf>
    <xf numFmtId="168" fontId="7" fillId="0" borderId="20" applyAlignment="1" pivotButton="0" quotePrefix="0" xfId="1">
      <alignment horizontal="right" vertical="center"/>
    </xf>
    <xf numFmtId="169" fontId="10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vertical="center"/>
    </xf>
    <xf numFmtId="165" fontId="7" fillId="0" borderId="18" applyAlignment="1" pivotButton="0" quotePrefix="0" xfId="0">
      <alignment vertical="center"/>
    </xf>
    <xf numFmtId="169" fontId="13" fillId="9" borderId="20" applyAlignment="1" pivotButton="0" quotePrefix="0" xfId="0">
      <alignment vertical="center"/>
    </xf>
    <xf numFmtId="0" fontId="12" fillId="8" borderId="18" applyAlignment="1" pivotButton="0" quotePrefix="0" xfId="0">
      <alignment vertical="center"/>
    </xf>
    <xf numFmtId="169" fontId="13" fillId="0" borderId="20" applyAlignment="1" pivotButton="0" quotePrefix="0" xfId="0">
      <alignment vertical="center"/>
    </xf>
    <xf numFmtId="170" fontId="10" fillId="0" borderId="20" applyAlignment="1" pivotButton="0" quotePrefix="0" xfId="0">
      <alignment horizontal="right" vertical="center"/>
    </xf>
    <xf numFmtId="170" fontId="7" fillId="0" borderId="20" applyAlignment="1" pivotButton="0" quotePrefix="0" xfId="0">
      <alignment horizontal="right" vertical="center"/>
    </xf>
    <xf numFmtId="0" fontId="9" fillId="9" borderId="20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164" fontId="7" fillId="0" borderId="20" applyAlignment="1" pivotButton="0" quotePrefix="0" xfId="0">
      <alignment vertical="center"/>
    </xf>
    <xf numFmtId="9" fontId="7" fillId="0" borderId="20" applyAlignment="1" pivotButton="0" quotePrefix="0" xfId="0">
      <alignment horizontal="right" vertical="center"/>
    </xf>
    <xf numFmtId="0" fontId="14" fillId="0" borderId="22" applyAlignment="1" pivotButton="0" quotePrefix="0" xfId="0">
      <alignment horizontal="center" vertical="center"/>
    </xf>
    <xf numFmtId="0" fontId="14" fillId="0" borderId="22" applyAlignment="1" pivotButton="0" quotePrefix="0" xfId="0">
      <alignment vertical="center"/>
    </xf>
    <xf numFmtId="169" fontId="14" fillId="0" borderId="22" applyAlignment="1" pivotButton="0" quotePrefix="0" xfId="0">
      <alignment vertical="center"/>
    </xf>
    <xf numFmtId="169" fontId="15" fillId="0" borderId="22" applyAlignment="1" pivotButton="0" quotePrefix="0" xfId="0">
      <alignment vertical="center"/>
    </xf>
    <xf numFmtId="164" fontId="7" fillId="0" borderId="18" applyAlignment="1" pivotButton="0" quotePrefix="0" xfId="0">
      <alignment vertical="center"/>
    </xf>
    <xf numFmtId="171" fontId="11" fillId="0" borderId="20" applyAlignment="1" pivotButton="0" quotePrefix="0" xfId="0">
      <alignment horizontal="right" vertical="center"/>
    </xf>
    <xf numFmtId="9" fontId="7" fillId="0" borderId="18" applyAlignment="1" pivotButton="0" quotePrefix="0" xfId="2">
      <alignment vertical="center"/>
    </xf>
    <xf numFmtId="168" fontId="7" fillId="0" borderId="20" applyAlignment="1" pivotButton="0" quotePrefix="0" xfId="0">
      <alignment horizontal="right" vertical="center"/>
    </xf>
    <xf numFmtId="172" fontId="7" fillId="0" borderId="20" applyAlignment="1" pivotButton="0" quotePrefix="0" xfId="0">
      <alignment horizontal="right" vertical="center"/>
    </xf>
    <xf numFmtId="9" fontId="7" fillId="0" borderId="18" applyAlignment="1" pivotButton="0" quotePrefix="0" xfId="0">
      <alignment vertical="center"/>
    </xf>
    <xf numFmtId="0" fontId="12" fillId="8" borderId="18" applyAlignment="1" pivotButton="0" quotePrefix="0" xfId="0">
      <alignment horizontal="right" vertical="center"/>
    </xf>
    <xf numFmtId="169" fontId="7" fillId="9" borderId="20" applyAlignment="1" pivotButton="0" quotePrefix="0" xfId="1">
      <alignment horizontal="right" vertical="center"/>
    </xf>
    <xf numFmtId="169" fontId="7" fillId="0" borderId="20" applyAlignment="1" pivotButton="0" quotePrefix="0" xfId="1">
      <alignment horizontal="right" vertical="center"/>
    </xf>
    <xf numFmtId="173" fontId="7" fillId="0" borderId="20" applyAlignment="1" pivotButton="0" quotePrefix="0" xfId="1">
      <alignment horizontal="right"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style="59" min="1" max="1"/>
    <col width="14" customWidth="1" style="59" min="2" max="2"/>
    <col width="17" customWidth="1" style="59" min="3" max="3"/>
    <col width="12" customWidth="1" style="59" min="4" max="4"/>
    <col width="17" customWidth="1" style="59" min="5" max="5"/>
    <col width="17" customWidth="1" style="59" min="6" max="6"/>
    <col width="17" customWidth="1" style="59" min="7" max="7"/>
    <col width="14" customWidth="1" style="59" min="8" max="8"/>
    <col width="14" customWidth="1" style="59" min="9" max="9"/>
    <col width="3" customWidth="1" style="59" min="10" max="10"/>
  </cols>
  <sheetData>
    <row r="1" ht="20" customHeight="1" s="59"/>
    <row r="2" ht="34" customHeight="1" s="59">
      <c r="B2" s="60">
        <f>IF('절감 산출'!B2="","",'절감 산출'!B2&amp;" ")&amp;"LED 교체 절감효과 산출서"</f>
        <v/>
      </c>
    </row>
    <row r="3" ht="20" customHeight="1" s="59">
      <c r="B3" s="61" t="inlineStr">
        <is>
          <t>지하주차장 · 공동주택 공용부 조명 에너지 절감 시뮬레이션</t>
        </is>
      </c>
      <c r="C3" s="62" t="n"/>
      <c r="D3" s="62" t="n"/>
      <c r="E3" s="62" t="n"/>
      <c r="F3" s="62" t="n"/>
      <c r="G3" s="62" t="n"/>
      <c r="H3" s="62" t="n"/>
      <c r="I3" s="62" t="n"/>
    </row>
    <row r="4" ht="20" customHeight="1" s="59"/>
    <row r="5" ht="20" customHeight="1" s="59">
      <c r="B5" s="63" t="inlineStr">
        <is>
          <t>연간 전력사용량</t>
        </is>
      </c>
      <c r="C5" s="64" t="n"/>
      <c r="D5" s="63" t="inlineStr">
        <is>
          <t>현재 연간 전기요금</t>
        </is>
      </c>
      <c r="E5" s="64" t="n"/>
      <c r="F5" s="63" t="inlineStr">
        <is>
          <t>에너지 Saving Ratio</t>
        </is>
      </c>
      <c r="G5" s="63" t="inlineStr">
        <is>
          <t>연간 절감 요금 (1년차)</t>
        </is>
      </c>
      <c r="H5" s="64" t="n"/>
      <c r="I5" s="64" t="n"/>
    </row>
    <row r="6" ht="32" customHeight="1" s="59">
      <c r="B6" s="65">
        <f>'절감 산출'!B7</f>
        <v/>
      </c>
      <c r="C6" s="66" t="n"/>
      <c r="D6" s="67">
        <f>'절감 산출'!B9</f>
        <v/>
      </c>
      <c r="E6" s="66" t="n"/>
      <c r="F6" s="68">
        <f>'절감 산출'!B17</f>
        <v/>
      </c>
      <c r="G6" s="67">
        <f>'절감 산출'!B19</f>
        <v/>
      </c>
      <c r="H6" s="66" t="n"/>
      <c r="I6" s="66" t="n"/>
    </row>
    <row r="7" ht="20" customHeight="1" s="59"/>
    <row r="8" ht="20" customHeight="1" s="59">
      <c r="B8" s="69" t="inlineStr">
        <is>
          <t>아파트 10년 누적 순수익 (예측)</t>
        </is>
      </c>
      <c r="C8" s="70" t="n"/>
      <c r="D8" s="70" t="n"/>
      <c r="E8" s="70" t="n"/>
      <c r="F8" s="70" t="n"/>
      <c r="G8" s="70" t="n"/>
      <c r="H8" s="70" t="n"/>
      <c r="I8" s="70" t="n"/>
    </row>
    <row r="9" ht="40" customHeight="1" s="59">
      <c r="B9" s="71">
        <f>'절감 산출'!J15</f>
        <v/>
      </c>
      <c r="C9" s="70" t="n"/>
      <c r="D9" s="70" t="n"/>
      <c r="E9" s="70" t="n"/>
      <c r="F9" s="70" t="n"/>
      <c r="G9" s="70" t="n"/>
      <c r="H9" s="70" t="n"/>
      <c r="I9" s="70" t="n"/>
    </row>
    <row r="10" ht="20" customHeight="1" s="59">
      <c r="B10" s="72">
        <f>"전기 절감 배분수익 "&amp;TEXT(SUM('절감 산출'!J4:J13),"#,##0")&amp;"원 + 자체 시설교체 추가투자 비용 절감액 "&amp;TEXT('절감 산출'!J14,"#,##0")&amp;"원"</f>
        <v/>
      </c>
      <c r="C10" s="70" t="n"/>
      <c r="D10" s="70" t="n"/>
      <c r="E10" s="70" t="n"/>
      <c r="F10" s="70" t="n"/>
      <c r="G10" s="70" t="n"/>
      <c r="H10" s="70" t="n"/>
      <c r="I10" s="70" t="n"/>
    </row>
    <row r="11" ht="20" customHeight="1" s="59"/>
    <row r="12" ht="20" customHeight="1" s="59">
      <c r="B12" s="73" t="inlineStr">
        <is>
          <t>년차별 성과공유 (전기요금 연 5% 상승 기준)</t>
        </is>
      </c>
      <c r="C12" s="62" t="n"/>
      <c r="D12" s="62" t="n"/>
      <c r="E12" s="62" t="n"/>
      <c r="F12" s="62" t="n"/>
      <c r="G12" s="62" t="n"/>
      <c r="H12" s="62" t="n"/>
      <c r="I12" s="62" t="n"/>
    </row>
    <row r="13" ht="24" customHeight="1" s="59">
      <c r="B13" s="74" t="inlineStr">
        <is>
          <t>년차</t>
        </is>
      </c>
      <c r="C13" s="74" t="inlineStr">
        <is>
          <t>전기요금 절감액</t>
        </is>
      </c>
      <c r="D13" s="74" t="inlineStr">
        <is>
          <t>건물 비율</t>
        </is>
      </c>
      <c r="E13" s="74" t="inlineStr">
        <is>
          <t>건물(아파트) 수익</t>
        </is>
      </c>
      <c r="F13" s="74" t="inlineStr">
        <is>
          <t>운영사 수익</t>
        </is>
      </c>
      <c r="G13" s="74" t="inlineStr">
        <is>
          <t>건물 누적 수익</t>
        </is>
      </c>
      <c r="H13" s="74" t="inlineStr">
        <is>
          <t>건물 수익</t>
        </is>
      </c>
      <c r="I13" s="70" t="n"/>
    </row>
    <row r="14" ht="20" customHeight="1" s="59">
      <c r="B14" s="75">
        <f>'절감 산출'!E4</f>
        <v/>
      </c>
      <c r="C14" s="76">
        <f>'절감 산출'!F4</f>
        <v/>
      </c>
      <c r="D14" s="77">
        <f>'절감 산출'!H4</f>
        <v/>
      </c>
      <c r="E14" s="78">
        <f>'절감 산출'!J4</f>
        <v/>
      </c>
      <c r="F14" s="76">
        <f>'절감 산출'!I4</f>
        <v/>
      </c>
      <c r="G14" s="76">
        <f>E14</f>
        <v/>
      </c>
      <c r="H14" s="79">
        <f>REPT("█",ROUND(IFERROR(E14/MAX($E$14:$E$23),0)*22,0))</f>
        <v/>
      </c>
      <c r="I14" s="80" t="n"/>
    </row>
    <row r="15" ht="20" customHeight="1" s="59">
      <c r="B15" s="81">
        <f>'절감 산출'!E5</f>
        <v/>
      </c>
      <c r="C15" s="82">
        <f>'절감 산출'!F5</f>
        <v/>
      </c>
      <c r="D15" s="83">
        <f>'절감 산출'!H5</f>
        <v/>
      </c>
      <c r="E15" s="84">
        <f>'절감 산출'!J5</f>
        <v/>
      </c>
      <c r="F15" s="82">
        <f>'절감 산출'!I5</f>
        <v/>
      </c>
      <c r="G15" s="82">
        <f>G14+E15</f>
        <v/>
      </c>
      <c r="H15" s="85">
        <f>REPT("█",ROUND(IFERROR(E15/MAX($E$14:$E$23),0)*22,0))</f>
        <v/>
      </c>
      <c r="I15" s="86" t="n"/>
    </row>
    <row r="16" ht="20" customHeight="1" s="59">
      <c r="B16" s="75">
        <f>'절감 산출'!E6</f>
        <v/>
      </c>
      <c r="C16" s="76">
        <f>'절감 산출'!F6</f>
        <v/>
      </c>
      <c r="D16" s="77">
        <f>'절감 산출'!H6</f>
        <v/>
      </c>
      <c r="E16" s="78">
        <f>'절감 산출'!J6</f>
        <v/>
      </c>
      <c r="F16" s="76">
        <f>'절감 산출'!I6</f>
        <v/>
      </c>
      <c r="G16" s="76">
        <f>G15+E16</f>
        <v/>
      </c>
      <c r="H16" s="79">
        <f>REPT("█",ROUND(IFERROR(E16/MAX($E$14:$E$23),0)*22,0))</f>
        <v/>
      </c>
      <c r="I16" s="80" t="n"/>
    </row>
    <row r="17" ht="20" customHeight="1" s="59">
      <c r="B17" s="81">
        <f>'절감 산출'!E7</f>
        <v/>
      </c>
      <c r="C17" s="82">
        <f>'절감 산출'!F7</f>
        <v/>
      </c>
      <c r="D17" s="83">
        <f>'절감 산출'!H7</f>
        <v/>
      </c>
      <c r="E17" s="84">
        <f>'절감 산출'!J7</f>
        <v/>
      </c>
      <c r="F17" s="82">
        <f>'절감 산출'!I7</f>
        <v/>
      </c>
      <c r="G17" s="82">
        <f>G16+E17</f>
        <v/>
      </c>
      <c r="H17" s="85">
        <f>REPT("█",ROUND(IFERROR(E17/MAX($E$14:$E$23),0)*22,0))</f>
        <v/>
      </c>
      <c r="I17" s="86" t="n"/>
    </row>
    <row r="18" ht="20" customHeight="1" s="59">
      <c r="B18" s="75">
        <f>'절감 산출'!E8</f>
        <v/>
      </c>
      <c r="C18" s="76">
        <f>'절감 산출'!F8</f>
        <v/>
      </c>
      <c r="D18" s="77">
        <f>'절감 산출'!H8</f>
        <v/>
      </c>
      <c r="E18" s="78">
        <f>'절감 산출'!J8</f>
        <v/>
      </c>
      <c r="F18" s="76">
        <f>'절감 산출'!I8</f>
        <v/>
      </c>
      <c r="G18" s="76">
        <f>G17+E18</f>
        <v/>
      </c>
      <c r="H18" s="79">
        <f>REPT("█",ROUND(IFERROR(E18/MAX($E$14:$E$23),0)*22,0))</f>
        <v/>
      </c>
      <c r="I18" s="80" t="n"/>
    </row>
    <row r="19" ht="20" customHeight="1" s="59">
      <c r="B19" s="81">
        <f>'절감 산출'!E9</f>
        <v/>
      </c>
      <c r="C19" s="82">
        <f>'절감 산출'!F9</f>
        <v/>
      </c>
      <c r="D19" s="83">
        <f>'절감 산출'!H9</f>
        <v/>
      </c>
      <c r="E19" s="84">
        <f>'절감 산출'!J9</f>
        <v/>
      </c>
      <c r="F19" s="82">
        <f>'절감 산출'!I9</f>
        <v/>
      </c>
      <c r="G19" s="82">
        <f>G18+E19</f>
        <v/>
      </c>
      <c r="H19" s="85">
        <f>REPT("█",ROUND(IFERROR(E19/MAX($E$14:$E$23),0)*22,0))</f>
        <v/>
      </c>
      <c r="I19" s="86" t="n"/>
    </row>
    <row r="20" ht="20" customHeight="1" s="59">
      <c r="B20" s="75">
        <f>'절감 산출'!E10</f>
        <v/>
      </c>
      <c r="C20" s="76">
        <f>'절감 산출'!F10</f>
        <v/>
      </c>
      <c r="D20" s="77">
        <f>'절감 산출'!H10</f>
        <v/>
      </c>
      <c r="E20" s="78">
        <f>'절감 산출'!J10</f>
        <v/>
      </c>
      <c r="F20" s="76">
        <f>'절감 산출'!I10</f>
        <v/>
      </c>
      <c r="G20" s="76">
        <f>G19+E20</f>
        <v/>
      </c>
      <c r="H20" s="79">
        <f>REPT("█",ROUND(IFERROR(E20/MAX($E$14:$E$23),0)*22,0))</f>
        <v/>
      </c>
      <c r="I20" s="80" t="n"/>
    </row>
    <row r="21" ht="20" customHeight="1" s="59">
      <c r="B21" s="87">
        <f>'절감 산출'!E11</f>
        <v/>
      </c>
      <c r="C21" s="82">
        <f>'절감 산출'!F11</f>
        <v/>
      </c>
      <c r="D21" s="83">
        <f>'절감 산출'!H11</f>
        <v/>
      </c>
      <c r="E21" s="84">
        <f>'절감 산출'!J11</f>
        <v/>
      </c>
      <c r="F21" s="82">
        <f>'절감 산출'!I11</f>
        <v/>
      </c>
      <c r="G21" s="82">
        <f>G20+E21</f>
        <v/>
      </c>
      <c r="H21" s="85">
        <f>REPT("█",ROUND(IFERROR(E21/MAX($E$14:$E$23),0)*22,0))</f>
        <v/>
      </c>
      <c r="I21" s="86" t="n"/>
    </row>
    <row r="22" ht="20" customHeight="1" s="59">
      <c r="B22" s="88">
        <f>'절감 산출'!E12</f>
        <v/>
      </c>
      <c r="C22" s="76">
        <f>'절감 산출'!F12</f>
        <v/>
      </c>
      <c r="D22" s="77">
        <f>'절감 산출'!H12</f>
        <v/>
      </c>
      <c r="E22" s="78">
        <f>'절감 산출'!J12</f>
        <v/>
      </c>
      <c r="F22" s="76">
        <f>'절감 산출'!I12</f>
        <v/>
      </c>
      <c r="G22" s="76">
        <f>G21+E22</f>
        <v/>
      </c>
      <c r="H22" s="79">
        <f>REPT("█",ROUND(IFERROR(E22/MAX($E$14:$E$23),0)*22,0))</f>
        <v/>
      </c>
      <c r="I22" s="80" t="n"/>
    </row>
    <row r="23" ht="20" customHeight="1" s="59">
      <c r="B23" s="87">
        <f>'절감 산출'!E13</f>
        <v/>
      </c>
      <c r="C23" s="82">
        <f>'절감 산출'!F13</f>
        <v/>
      </c>
      <c r="D23" s="83">
        <f>'절감 산출'!H13</f>
        <v/>
      </c>
      <c r="E23" s="84">
        <f>'절감 산출'!J13</f>
        <v/>
      </c>
      <c r="F23" s="82">
        <f>'절감 산출'!I13</f>
        <v/>
      </c>
      <c r="G23" s="82">
        <f>G22+E23</f>
        <v/>
      </c>
      <c r="H23" s="85">
        <f>REPT("█",ROUND(IFERROR(E23/MAX($E$14:$E$23),0)*22,0))</f>
        <v/>
      </c>
      <c r="I23" s="86" t="n"/>
    </row>
    <row r="24" ht="24" customHeight="1" s="59">
      <c r="B24" s="89" t="inlineStr">
        <is>
          <t>합계</t>
        </is>
      </c>
      <c r="C24" s="90">
        <f>SUM(C14:C23)</f>
        <v/>
      </c>
      <c r="D24" s="91" t="n"/>
      <c r="E24" s="92">
        <f>SUM(E14:E23)</f>
        <v/>
      </c>
      <c r="F24" s="90">
        <f>SUM(F14:F23)</f>
        <v/>
      </c>
      <c r="G24" s="91" t="n"/>
      <c r="H24" s="91" t="n"/>
      <c r="I24" s="91" t="n"/>
    </row>
    <row r="25" ht="20" customHeight="1" s="59">
      <c r="B25" s="93" t="inlineStr">
        <is>
          <t>건물주 추가투자비용 절감액</t>
        </is>
      </c>
      <c r="E25" s="94">
        <f>'절감 산출'!J14</f>
        <v/>
      </c>
    </row>
    <row r="26" ht="20" customHeight="1" s="59">
      <c r="B26" s="95" t="inlineStr">
        <is>
          <t>아파트 10년 누적 순수익</t>
        </is>
      </c>
      <c r="C26" s="96" t="n"/>
      <c r="D26" s="96" t="n"/>
      <c r="E26" s="97">
        <f>'절감 산출'!J15</f>
        <v/>
      </c>
    </row>
    <row r="27" ht="20" customHeight="1" s="59"/>
    <row r="28" ht="22" customHeight="1" s="59">
      <c r="B28" s="98">
        <f>"산출 기준: 현장 입력값 — 소비전력 "&amp;'절감 산출'!B3&amp;"W · 일일 점등 "&amp;'절감 산출'!B4&amp;"시간 · LED "&amp;TEXT('절감 산출'!B5,"#,##0")&amp;"등 · 전기요금 "&amp;'절감 산출'!B8&amp;"원/kWh · 현재 등 효율 "&amp;'절감 산출'!B13&amp;"lm/W. 고정값 — M-Carbon 등 효율 "&amp;'절감 산출'!B14&amp;"lm/W · Smart IoT 추가 절감 "&amp;TEXT('절감 산출'!B15,"0%")&amp;" · 전기요금 연 5% 상승 · 성과공유 비율(산출 시트 H열). 상세 계산은 ‘절감 산출’ 시트 참고."</f>
        <v/>
      </c>
    </row>
    <row r="29" ht="22" customHeight="1" s="59"/>
    <row r="30" ht="20" customHeight="1" s="59"/>
    <row r="31" ht="20" customHeight="1" s="59">
      <c r="B31" s="99" t="inlineStr">
        <is>
          <t>미래이에스피(주) · M-Carbon Solutions</t>
        </is>
      </c>
    </row>
    <row r="32" ht="20" customHeight="1" s="59"/>
    <row r="33" ht="20" customHeight="1" s="59"/>
  </sheetData>
  <mergeCells count="27">
    <mergeCell ref="H20:I20"/>
    <mergeCell ref="G6:I6"/>
    <mergeCell ref="B3:I3"/>
    <mergeCell ref="B28:I29"/>
    <mergeCell ref="B31:I31"/>
    <mergeCell ref="B12:I12"/>
    <mergeCell ref="D6:E6"/>
    <mergeCell ref="H21:I21"/>
    <mergeCell ref="G5:I5"/>
    <mergeCell ref="B2:I2"/>
    <mergeCell ref="B8:I8"/>
    <mergeCell ref="H17:I17"/>
    <mergeCell ref="H16:I16"/>
    <mergeCell ref="B10:I10"/>
    <mergeCell ref="B26:D26"/>
    <mergeCell ref="H19:I19"/>
    <mergeCell ref="H22:I22"/>
    <mergeCell ref="H13:I13"/>
    <mergeCell ref="B25:D25"/>
    <mergeCell ref="B9:I9"/>
    <mergeCell ref="B6:C6"/>
    <mergeCell ref="B5:C5"/>
    <mergeCell ref="D5:E5"/>
    <mergeCell ref="H15:I15"/>
    <mergeCell ref="H18:I18"/>
    <mergeCell ref="H23:I23"/>
    <mergeCell ref="H14:I14"/>
  </mergeCells>
  <pageMargins left="0.4" right="0.4" top="0.5" bottom="0.5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5"/>
  <sheetViews>
    <sheetView showGridLines="0" tabSelected="1" workbookViewId="0">
      <selection activeCell="B24" sqref="B24"/>
    </sheetView>
  </sheetViews>
  <sheetFormatPr baseColWidth="8" defaultColWidth="9" defaultRowHeight="15"/>
  <cols>
    <col width="34" customWidth="1" style="49" min="1" max="1"/>
    <col width="22" customWidth="1" style="49" min="2" max="2"/>
    <col width="2" customWidth="1" style="49" min="3" max="4"/>
    <col width="2" customWidth="1" style="59" min="4" max="4"/>
    <col width="9" customWidth="1" style="49" min="5" max="5"/>
    <col width="16" bestFit="1" customWidth="1" style="49" min="6" max="6"/>
    <col width="9" customWidth="1" style="49" min="7" max="7"/>
    <col width="9" customWidth="1" style="49" min="8" max="8"/>
    <col width="16" bestFit="1" customWidth="1" style="49" min="9" max="9"/>
    <col width="17" bestFit="1" customWidth="1" style="49" min="10" max="10"/>
    <col width="2" bestFit="1" customWidth="1" style="49" min="11" max="11"/>
    <col width="4" bestFit="1" customWidth="1" style="49" min="12" max="12"/>
    <col width="24" customWidth="1" style="49" min="13" max="14"/>
    <col width="14.5" bestFit="1" customWidth="1" style="49" min="15" max="15"/>
    <col width="12.375" bestFit="1" customWidth="1" style="49" min="16" max="18"/>
    <col width="9" customWidth="1" style="49" min="19" max="16384"/>
  </cols>
  <sheetData>
    <row r="1" ht="30" customHeight="1" s="59">
      <c r="A1" s="100" t="inlineStr">
        <is>
          <t>전기사용량 비교</t>
        </is>
      </c>
      <c r="B1" s="101" t="n"/>
      <c r="C1" s="102" t="n"/>
      <c r="D1" s="102" t="n"/>
      <c r="E1" s="100" t="inlineStr">
        <is>
          <t>성과공유</t>
        </is>
      </c>
      <c r="F1" s="101" t="n"/>
      <c r="G1" s="101" t="n"/>
      <c r="H1" s="101" t="n"/>
      <c r="I1" s="101" t="n"/>
      <c r="J1" s="101" t="n"/>
      <c r="K1" s="102" t="n"/>
      <c r="L1" s="102" t="n"/>
      <c r="M1" s="102" t="n"/>
      <c r="N1" s="102" t="n"/>
      <c r="O1" s="102" t="n"/>
      <c r="P1" s="102" t="n"/>
      <c r="Q1" s="102" t="n"/>
      <c r="R1" s="102" t="n"/>
    </row>
    <row r="2" ht="24" customHeight="1" s="59">
      <c r="A2" s="103" t="inlineStr">
        <is>
          <t>고객명</t>
        </is>
      </c>
      <c r="B2" s="104" t="n"/>
      <c r="C2" s="102" t="n"/>
      <c r="D2" s="102" t="n"/>
      <c r="E2" s="105" t="inlineStr">
        <is>
          <t>년</t>
        </is>
      </c>
      <c r="F2" s="105" t="inlineStr">
        <is>
          <t>운영수익</t>
        </is>
      </c>
      <c r="G2" s="106" t="inlineStr">
        <is>
          <t>비율정의</t>
        </is>
      </c>
      <c r="H2" s="106" t="n"/>
      <c r="I2" s="105" t="inlineStr">
        <is>
          <t>수익</t>
        </is>
      </c>
      <c r="J2" s="105" t="n"/>
      <c r="K2" s="102" t="n"/>
      <c r="L2" s="102" t="n"/>
      <c r="M2" s="102" t="n"/>
      <c r="N2" s="102" t="n"/>
      <c r="O2" s="102" t="n"/>
      <c r="P2" s="107" t="n"/>
      <c r="Q2" s="108" t="n"/>
      <c r="R2" s="102" t="n"/>
    </row>
    <row r="3" ht="24" customHeight="1" s="59">
      <c r="A3" s="103" t="inlineStr">
        <is>
          <t>소비전력[W]</t>
        </is>
      </c>
      <c r="B3" s="109" t="n">
        <v>32</v>
      </c>
      <c r="C3" s="102" t="n"/>
      <c r="D3" s="102" t="n"/>
      <c r="E3" s="105" t="inlineStr">
        <is>
          <t>수익자</t>
        </is>
      </c>
      <c r="F3" s="105" t="n"/>
      <c r="G3" s="106" t="inlineStr">
        <is>
          <t>운영사</t>
        </is>
      </c>
      <c r="H3" s="106" t="inlineStr">
        <is>
          <t>건물</t>
        </is>
      </c>
      <c r="I3" s="105" t="inlineStr">
        <is>
          <t>운영사</t>
        </is>
      </c>
      <c r="J3" s="105" t="inlineStr">
        <is>
          <t>건물</t>
        </is>
      </c>
      <c r="K3" s="102" t="n"/>
      <c r="L3" s="102" t="n"/>
      <c r="M3" s="102" t="n"/>
      <c r="N3" s="102" t="n"/>
      <c r="O3" s="102" t="n"/>
      <c r="P3" s="102" t="n"/>
      <c r="Q3" s="102" t="n"/>
      <c r="R3" s="102" t="n"/>
    </row>
    <row r="4" ht="21" customHeight="1" s="59" thickBot="1">
      <c r="A4" s="103" t="inlineStr">
        <is>
          <t>일일점등시간[시간]</t>
        </is>
      </c>
      <c r="B4" s="110" t="n">
        <v>24</v>
      </c>
      <c r="C4" s="102" t="n"/>
      <c r="D4" s="102" t="n"/>
      <c r="E4" s="75" t="n">
        <v>1</v>
      </c>
      <c r="F4" s="111">
        <f>B27</f>
        <v/>
      </c>
      <c r="G4" s="112">
        <f>1-H4</f>
        <v/>
      </c>
      <c r="H4" s="112" t="n">
        <v>0.2</v>
      </c>
      <c r="I4" s="111">
        <f>$F4*G4</f>
        <v/>
      </c>
      <c r="J4" s="111">
        <f>$F4*H4</f>
        <v/>
      </c>
      <c r="K4" s="102" t="n"/>
      <c r="L4" s="102" t="n"/>
      <c r="M4" s="102" t="n"/>
      <c r="N4" s="102" t="n"/>
      <c r="O4" s="102" t="n"/>
      <c r="P4" s="108" t="n"/>
      <c r="Q4" s="108" t="n"/>
      <c r="R4" s="108" t="n"/>
    </row>
    <row r="5" ht="21" customHeight="1" s="59" thickBot="1">
      <c r="A5" s="103" t="inlineStr">
        <is>
          <t>LED 등수</t>
        </is>
      </c>
      <c r="B5" s="113" t="n">
        <v>995</v>
      </c>
      <c r="C5" s="102" t="n"/>
      <c r="D5" s="102" t="n"/>
      <c r="E5" s="81" t="n">
        <v>2</v>
      </c>
      <c r="F5" s="114">
        <f>B28</f>
        <v/>
      </c>
      <c r="G5" s="115">
        <f>1-H5</f>
        <v/>
      </c>
      <c r="H5" s="115" t="n">
        <v>0.2</v>
      </c>
      <c r="I5" s="114">
        <f>$F5*G5</f>
        <v/>
      </c>
      <c r="J5" s="114">
        <f>$F5*H5</f>
        <v/>
      </c>
      <c r="K5" s="102" t="n"/>
      <c r="L5" s="102" t="n"/>
      <c r="M5" s="102" t="n"/>
      <c r="N5" s="102" t="n"/>
      <c r="O5" s="102" t="n"/>
      <c r="P5" s="102" t="n"/>
      <c r="Q5" s="102" t="n"/>
      <c r="R5" s="102" t="n"/>
    </row>
    <row r="6" ht="21" customHeight="1" s="59">
      <c r="A6" s="103" t="inlineStr">
        <is>
          <t>일 사용량[KW]</t>
        </is>
      </c>
      <c r="B6" s="116">
        <f>B3*B4*B5/1000</f>
        <v/>
      </c>
      <c r="C6" s="102" t="n"/>
      <c r="D6" s="102" t="n"/>
      <c r="E6" s="75" t="n">
        <v>3</v>
      </c>
      <c r="F6" s="111">
        <f>B29</f>
        <v/>
      </c>
      <c r="G6" s="112">
        <f>1-H6</f>
        <v/>
      </c>
      <c r="H6" s="112" t="n">
        <v>0.2</v>
      </c>
      <c r="I6" s="111">
        <f>$F6*G6</f>
        <v/>
      </c>
      <c r="J6" s="111">
        <f>$F6*H6</f>
        <v/>
      </c>
      <c r="K6" s="102" t="n"/>
      <c r="L6" s="102" t="n"/>
      <c r="M6" s="117" t="n"/>
      <c r="N6" s="102" t="n"/>
      <c r="O6" s="102" t="n"/>
      <c r="P6" s="102" t="n"/>
      <c r="Q6" s="102" t="n"/>
      <c r="R6" s="102" t="n"/>
    </row>
    <row r="7" ht="21" customHeight="1" s="59">
      <c r="A7" s="103" t="inlineStr">
        <is>
          <t>년간 전력사용량 [kWh]</t>
        </is>
      </c>
      <c r="B7" s="118">
        <f>B6*365</f>
        <v/>
      </c>
      <c r="C7" s="102" t="n"/>
      <c r="D7" s="102" t="n"/>
      <c r="E7" s="81" t="n">
        <v>4</v>
      </c>
      <c r="F7" s="114">
        <f>B30</f>
        <v/>
      </c>
      <c r="G7" s="115">
        <f>1-H7</f>
        <v/>
      </c>
      <c r="H7" s="115" t="n">
        <v>0.3</v>
      </c>
      <c r="I7" s="114">
        <f>$F7*G7</f>
        <v/>
      </c>
      <c r="J7" s="114">
        <f>$F7*H7</f>
        <v/>
      </c>
      <c r="K7" s="102" t="n"/>
      <c r="L7" s="102" t="n"/>
      <c r="M7" s="102" t="n"/>
      <c r="N7" s="102" t="n"/>
      <c r="O7" s="102" t="n"/>
      <c r="P7" s="102" t="n"/>
      <c r="Q7" s="102" t="n"/>
      <c r="R7" s="102" t="n"/>
    </row>
    <row r="8" ht="21" customHeight="1" s="59" thickBot="1">
      <c r="A8" s="103" t="inlineStr">
        <is>
          <t>전기요금[원/KW]</t>
        </is>
      </c>
      <c r="B8" s="119" t="n">
        <v>230</v>
      </c>
      <c r="C8" s="102" t="n"/>
      <c r="D8" s="102" t="n"/>
      <c r="E8" s="75" t="n">
        <v>5</v>
      </c>
      <c r="F8" s="111">
        <f>B31</f>
        <v/>
      </c>
      <c r="G8" s="112">
        <f>1-H8</f>
        <v/>
      </c>
      <c r="H8" s="112" t="n">
        <v>0.3</v>
      </c>
      <c r="I8" s="111">
        <f>$F8*G8</f>
        <v/>
      </c>
      <c r="J8" s="111">
        <f>$F8*H8</f>
        <v/>
      </c>
      <c r="K8" s="102" t="n"/>
      <c r="L8" s="102" t="n"/>
      <c r="M8" s="102" t="n"/>
      <c r="N8" s="102" t="n"/>
      <c r="O8" s="102" t="n"/>
      <c r="P8" s="102" t="n"/>
      <c r="Q8" s="102" t="n"/>
      <c r="R8" s="102" t="n"/>
    </row>
    <row r="9" ht="21" customHeight="1" s="59" thickBot="1">
      <c r="A9" s="120" t="inlineStr">
        <is>
          <t>현재 기준 년간 전기요금</t>
        </is>
      </c>
      <c r="B9" s="78">
        <f>B7*B8</f>
        <v/>
      </c>
      <c r="C9" s="102" t="n"/>
      <c r="D9" s="102" t="n"/>
      <c r="E9" s="81" t="n">
        <v>6</v>
      </c>
      <c r="F9" s="114">
        <f>B32</f>
        <v/>
      </c>
      <c r="G9" s="115">
        <f>1-H9</f>
        <v/>
      </c>
      <c r="H9" s="115" t="n">
        <v>0.4</v>
      </c>
      <c r="I9" s="114">
        <f>$F9*G9</f>
        <v/>
      </c>
      <c r="J9" s="114">
        <f>$F9*H9</f>
        <v/>
      </c>
      <c r="K9" s="102" t="n"/>
      <c r="L9" s="102" t="n"/>
      <c r="M9" s="102" t="n"/>
      <c r="N9" s="102" t="n"/>
      <c r="O9" s="102" t="n"/>
      <c r="P9" s="102" t="n"/>
      <c r="Q9" s="102" t="n"/>
      <c r="R9" s="102" t="n"/>
    </row>
    <row r="10" ht="21" customHeight="1" s="59">
      <c r="A10" s="102" t="n"/>
      <c r="B10" s="121" t="n"/>
      <c r="C10" s="102" t="n"/>
      <c r="D10" s="102" t="n"/>
      <c r="E10" s="75" t="n">
        <v>7</v>
      </c>
      <c r="F10" s="111">
        <f>B33</f>
        <v/>
      </c>
      <c r="G10" s="112">
        <f>1-H10</f>
        <v/>
      </c>
      <c r="H10" s="112" t="n">
        <v>0.4</v>
      </c>
      <c r="I10" s="111">
        <f>$F10*G10</f>
        <v/>
      </c>
      <c r="J10" s="111">
        <f>$F10*H10</f>
        <v/>
      </c>
      <c r="K10" s="102" t="n"/>
      <c r="L10" s="102" t="n"/>
      <c r="M10" s="102" t="n"/>
      <c r="N10" s="102" t="n"/>
      <c r="O10" s="102" t="n"/>
      <c r="P10" s="102" t="n"/>
      <c r="Q10" s="102" t="n"/>
      <c r="R10" s="102" t="n"/>
    </row>
    <row r="11" ht="21" customHeight="1" s="59">
      <c r="A11" s="102" t="n"/>
      <c r="B11" s="121" t="n"/>
      <c r="C11" s="102" t="n"/>
      <c r="D11" s="102" t="n"/>
      <c r="E11" s="87" t="n">
        <v>8</v>
      </c>
      <c r="F11" s="114">
        <f>B34</f>
        <v/>
      </c>
      <c r="G11" s="115">
        <f>1-H11</f>
        <v/>
      </c>
      <c r="H11" s="115" t="n">
        <v>1</v>
      </c>
      <c r="I11" s="114">
        <f>$F11*G11</f>
        <v/>
      </c>
      <c r="J11" s="122">
        <f>$F11*H11</f>
        <v/>
      </c>
      <c r="K11" s="102" t="n"/>
      <c r="L11" s="102" t="n"/>
      <c r="M11" s="102" t="n"/>
      <c r="N11" s="102" t="n"/>
      <c r="O11" s="102" t="n"/>
      <c r="P11" s="102" t="n"/>
      <c r="Q11" s="102" t="n"/>
      <c r="R11" s="102" t="n"/>
    </row>
    <row r="12" ht="24" customHeight="1" s="59">
      <c r="A12" s="123" t="inlineStr">
        <is>
          <t>절감율 산출</t>
        </is>
      </c>
      <c r="B12" s="123" t="n"/>
      <c r="C12" s="102" t="n"/>
      <c r="D12" s="102" t="n"/>
      <c r="E12" s="88" t="n">
        <v>9</v>
      </c>
      <c r="F12" s="111">
        <f>B35</f>
        <v/>
      </c>
      <c r="G12" s="112">
        <f>1-H12</f>
        <v/>
      </c>
      <c r="H12" s="112" t="n">
        <v>1</v>
      </c>
      <c r="I12" s="111">
        <f>$F12*G12</f>
        <v/>
      </c>
      <c r="J12" s="124">
        <f>$F12*H12</f>
        <v/>
      </c>
      <c r="K12" s="102" t="n"/>
      <c r="L12" s="102" t="n"/>
      <c r="M12" s="102" t="n"/>
      <c r="N12" s="102" t="n"/>
      <c r="O12" s="102" t="n"/>
      <c r="P12" s="102" t="n"/>
      <c r="Q12" s="102" t="n"/>
      <c r="R12" s="102" t="n"/>
    </row>
    <row r="13" ht="21" customHeight="1" s="59">
      <c r="A13" s="103" t="inlineStr">
        <is>
          <t>현재 등 효율 [lm/W]</t>
        </is>
      </c>
      <c r="B13" s="125" t="n">
        <v>120</v>
      </c>
      <c r="C13" s="102" t="n"/>
      <c r="D13" s="102" t="n"/>
      <c r="E13" s="87" t="n">
        <v>10</v>
      </c>
      <c r="F13" s="114">
        <f>B36</f>
        <v/>
      </c>
      <c r="G13" s="115">
        <f>1-H13</f>
        <v/>
      </c>
      <c r="H13" s="115" t="n">
        <v>1</v>
      </c>
      <c r="I13" s="114">
        <f>$F13*G13</f>
        <v/>
      </c>
      <c r="J13" s="122">
        <f>$F13*H13</f>
        <v/>
      </c>
      <c r="K13" s="102" t="n"/>
      <c r="L13" s="102" t="n"/>
      <c r="M13" s="102" t="n"/>
      <c r="N13" s="102" t="n"/>
      <c r="O13" s="102" t="n"/>
      <c r="P13" s="102" t="n"/>
      <c r="Q13" s="102" t="n"/>
      <c r="R13" s="102" t="n"/>
    </row>
    <row r="14" ht="21" customHeight="1" s="59">
      <c r="A14" s="103" t="inlineStr">
        <is>
          <t>M-Carbon 등 효율 [lm/W]</t>
        </is>
      </c>
      <c r="B14" s="126" t="n">
        <v>180</v>
      </c>
      <c r="C14" s="102" t="n"/>
      <c r="D14" s="102" t="n"/>
      <c r="E14" s="127" t="inlineStr">
        <is>
          <t>건물주 추가투지비용 절감액</t>
        </is>
      </c>
      <c r="F14" s="128" t="n"/>
      <c r="G14" s="128" t="n"/>
      <c r="H14" s="128" t="n"/>
      <c r="I14" s="129" t="n"/>
      <c r="J14" s="114">
        <f>B42</f>
        <v/>
      </c>
      <c r="K14" s="102" t="n"/>
      <c r="L14" s="102" t="n"/>
      <c r="M14" s="102" t="n"/>
      <c r="N14" s="102" t="n"/>
      <c r="O14" s="102" t="n"/>
      <c r="P14" s="102" t="n"/>
      <c r="Q14" s="102" t="n"/>
      <c r="R14" s="102" t="n"/>
    </row>
    <row r="15" ht="28" customHeight="1" s="59">
      <c r="A15" s="103" t="inlineStr">
        <is>
          <t>Smart IoT추가 절감효율 [%]</t>
        </is>
      </c>
      <c r="B15" s="130" t="n">
        <v>0.25</v>
      </c>
      <c r="C15" s="102" t="n"/>
      <c r="D15" s="102" t="n"/>
      <c r="E15" s="131" t="inlineStr">
        <is>
          <t>총계</t>
        </is>
      </c>
      <c r="F15" s="132" t="n"/>
      <c r="G15" s="132" t="n"/>
      <c r="H15" s="132" t="n"/>
      <c r="I15" s="133">
        <f>SUM(I4:I13)</f>
        <v/>
      </c>
      <c r="J15" s="134">
        <f>SUM(J4:J14)</f>
        <v/>
      </c>
      <c r="K15" s="102" t="n"/>
      <c r="L15" s="102" t="n"/>
      <c r="M15" s="102" t="n"/>
      <c r="N15" s="102" t="n"/>
      <c r="O15" s="102" t="n"/>
      <c r="P15" s="102" t="n"/>
      <c r="Q15" s="102" t="n"/>
      <c r="R15" s="102" t="n"/>
    </row>
    <row r="16" ht="21" customHeight="1" s="59">
      <c r="A16" s="102" t="n"/>
      <c r="B16" s="102" t="n"/>
      <c r="C16" s="102" t="n"/>
      <c r="D16" s="102" t="n"/>
      <c r="E16" s="102" t="n"/>
      <c r="F16" s="102" t="n"/>
      <c r="G16" s="102" t="n"/>
      <c r="H16" s="102" t="n"/>
      <c r="I16" s="135" t="n"/>
      <c r="J16" s="135" t="n"/>
      <c r="K16" s="102" t="n"/>
      <c r="L16" s="102" t="n"/>
      <c r="M16" s="102" t="n"/>
      <c r="N16" s="102" t="n"/>
      <c r="O16" s="102" t="n"/>
      <c r="P16" s="102" t="n"/>
      <c r="Q16" s="102" t="n"/>
      <c r="R16" s="102" t="n"/>
    </row>
    <row r="17" ht="21" customHeight="1" s="59">
      <c r="A17" s="120" t="inlineStr">
        <is>
          <t>에너지 Saving Ratio</t>
        </is>
      </c>
      <c r="B17" s="136">
        <f>(B14/B13)-1+B15</f>
        <v/>
      </c>
      <c r="C17" s="102" t="n"/>
      <c r="D17" s="102" t="n"/>
      <c r="E17" s="102" t="n"/>
      <c r="F17" s="135" t="n"/>
      <c r="G17" s="137" t="n"/>
      <c r="H17" s="137" t="n"/>
      <c r="I17" s="135" t="n"/>
      <c r="J17" s="135" t="n"/>
      <c r="K17" s="102" t="n"/>
      <c r="L17" s="102" t="n"/>
      <c r="M17" s="102" t="n"/>
      <c r="N17" s="102" t="n"/>
      <c r="O17" s="102" t="n"/>
      <c r="P17" s="102" t="n"/>
      <c r="Q17" s="102" t="n"/>
      <c r="R17" s="102" t="n"/>
    </row>
    <row r="18" ht="21" customHeight="1" s="59">
      <c r="A18" s="103" t="inlineStr">
        <is>
          <t>연간 절감 전력 [kWh]</t>
        </is>
      </c>
      <c r="B18" s="138">
        <f>R4</f>
        <v/>
      </c>
      <c r="C18" s="102" t="n"/>
      <c r="D18" s="102" t="n"/>
      <c r="E18" s="102" t="n"/>
      <c r="F18" s="135" t="n"/>
      <c r="G18" s="137" t="n"/>
      <c r="H18" s="137" t="n"/>
      <c r="I18" s="135" t="n"/>
      <c r="J18" s="135" t="n"/>
      <c r="K18" s="102" t="n"/>
      <c r="L18" s="102" t="n"/>
      <c r="M18" s="102" t="n"/>
      <c r="N18" s="102" t="n"/>
      <c r="O18" s="102" t="n"/>
      <c r="P18" s="102" t="n"/>
      <c r="Q18" s="102" t="n"/>
      <c r="R18" s="102" t="n"/>
    </row>
    <row r="19" ht="21" customHeight="1" s="59">
      <c r="A19" s="120" t="inlineStr">
        <is>
          <t>연간 절감 요금 [원]</t>
        </is>
      </c>
      <c r="B19" s="78">
        <f>B9*B17</f>
        <v/>
      </c>
      <c r="C19" s="102" t="n"/>
      <c r="D19" s="102" t="n"/>
      <c r="E19" s="102" t="n"/>
      <c r="F19" s="102" t="n"/>
      <c r="G19" s="102" t="n"/>
      <c r="H19" s="102" t="n"/>
      <c r="I19" s="102" t="n"/>
      <c r="J19" s="102" t="n"/>
      <c r="K19" s="135" t="n"/>
      <c r="L19" s="102" t="n"/>
      <c r="M19" s="102" t="n"/>
      <c r="N19" s="102" t="n"/>
      <c r="O19" s="102" t="n"/>
      <c r="P19" s="102" t="n"/>
      <c r="Q19" s="102" t="n"/>
      <c r="R19" s="102" t="n"/>
    </row>
    <row r="20" ht="21" customHeight="1" s="59">
      <c r="A20" s="102" t="n"/>
      <c r="B20" s="135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</row>
    <row r="21" ht="21" customHeight="1" s="59">
      <c r="A21" s="103" t="inlineStr">
        <is>
          <t>추가시설비 단가</t>
        </is>
      </c>
      <c r="B21" s="76" t="n">
        <v>25000</v>
      </c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P21" s="102" t="n"/>
      <c r="Q21" s="102" t="n"/>
      <c r="R21" s="102" t="n"/>
    </row>
    <row r="22" ht="21" customHeight="1" s="59" thickBot="1">
      <c r="A22" s="103" t="inlineStr">
        <is>
          <t>회수/10년 기준</t>
        </is>
      </c>
      <c r="B22" s="139" t="n">
        <v>2</v>
      </c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</row>
    <row r="23" ht="21" customHeight="1" s="59" thickBot="1">
      <c r="A23" s="120" t="inlineStr">
        <is>
          <t>투자비_LED단가적용(제품,시설 및 기타)</t>
        </is>
      </c>
      <c r="B23" s="78">
        <f>B21*B5*B22</f>
        <v/>
      </c>
      <c r="C23" s="102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  <c r="P23" s="102" t="n"/>
      <c r="Q23" s="102" t="n"/>
      <c r="R23" s="102" t="n"/>
    </row>
    <row r="24" ht="21" customHeight="1" s="59">
      <c r="A24" s="102" t="n"/>
      <c r="B24" s="102" t="n"/>
      <c r="C24" s="102" t="n"/>
      <c r="D24" s="102" t="n"/>
      <c r="E24" s="102" t="n"/>
      <c r="F24" s="135" t="n"/>
      <c r="G24" s="140" t="n"/>
      <c r="H24" s="140" t="n"/>
      <c r="I24" s="135" t="n"/>
      <c r="J24" s="135" t="n"/>
      <c r="K24" s="102" t="n"/>
      <c r="L24" s="102" t="n"/>
      <c r="M24" s="102" t="n"/>
      <c r="N24" s="102" t="n"/>
      <c r="O24" s="102" t="n"/>
      <c r="P24" s="102" t="n"/>
      <c r="Q24" s="102" t="n"/>
      <c r="R24" s="102" t="n"/>
    </row>
    <row r="25" ht="24" customHeight="1" s="59">
      <c r="A25" s="123" t="inlineStr">
        <is>
          <t>년차별 절감 예상</t>
        </is>
      </c>
      <c r="B25" s="141" t="inlineStr">
        <is>
          <t>5% 전기용금 상승 기준</t>
        </is>
      </c>
      <c r="C25" s="102" t="n"/>
      <c r="D25" s="102" t="n"/>
      <c r="E25" s="102" t="n"/>
      <c r="F25" s="135" t="n"/>
      <c r="G25" s="140" t="n"/>
      <c r="H25" s="140" t="n"/>
      <c r="I25" s="135" t="n"/>
      <c r="J25" s="135" t="n"/>
      <c r="K25" s="102" t="n"/>
      <c r="L25" s="102" t="n"/>
      <c r="M25" s="102" t="n"/>
      <c r="N25" s="102" t="n"/>
      <c r="O25" s="102" t="n"/>
      <c r="P25" s="102" t="n"/>
      <c r="Q25" s="102" t="n"/>
      <c r="R25" s="102" t="n"/>
    </row>
    <row r="26" ht="21" customHeight="1" s="59">
      <c r="A26" s="102" t="n"/>
      <c r="B26" s="102" t="n"/>
      <c r="C26" s="102" t="n"/>
      <c r="D26" s="102" t="n"/>
      <c r="E26" s="102" t="n"/>
      <c r="F26" s="135" t="n"/>
      <c r="G26" s="140" t="n"/>
      <c r="H26" s="140" t="n"/>
      <c r="I26" s="135" t="n"/>
      <c r="J26" s="135" t="n"/>
      <c r="K26" s="102" t="n"/>
      <c r="L26" s="102" t="n"/>
      <c r="M26" s="102" t="n"/>
      <c r="N26" s="102" t="n"/>
      <c r="O26" s="102" t="n"/>
      <c r="P26" s="102" t="n"/>
      <c r="Q26" s="102" t="n"/>
      <c r="R26" s="102" t="n"/>
    </row>
    <row r="27" ht="21" customHeight="1" s="59">
      <c r="A27" s="81" t="n">
        <v>1</v>
      </c>
      <c r="B27" s="142">
        <f>B19</f>
        <v/>
      </c>
      <c r="C27" s="102" t="n"/>
      <c r="D27" s="102" t="n"/>
      <c r="E27" s="102" t="n"/>
      <c r="F27" s="135" t="n"/>
      <c r="G27" s="140" t="n"/>
      <c r="H27" s="140" t="n"/>
      <c r="I27" s="135" t="n"/>
      <c r="J27" s="135" t="n"/>
      <c r="K27" s="102" t="n"/>
      <c r="L27" s="102" t="n"/>
      <c r="M27" s="102" t="n"/>
      <c r="N27" s="102" t="n"/>
      <c r="O27" s="102" t="n"/>
      <c r="P27" s="102" t="n"/>
      <c r="Q27" s="102" t="n"/>
      <c r="R27" s="102" t="n"/>
    </row>
    <row r="28" ht="21" customHeight="1" s="59">
      <c r="A28" s="75" t="n">
        <v>2</v>
      </c>
      <c r="B28" s="143">
        <f>B27*1.05</f>
        <v/>
      </c>
      <c r="C28" s="102" t="n"/>
      <c r="D28" s="102" t="n"/>
      <c r="E28" s="102" t="n"/>
      <c r="F28" s="135" t="n"/>
      <c r="G28" s="140" t="n"/>
      <c r="H28" s="140" t="n"/>
      <c r="I28" s="135" t="n"/>
      <c r="J28" s="135" t="n"/>
      <c r="K28" s="102" t="n"/>
      <c r="L28" s="102" t="n"/>
      <c r="M28" s="102" t="n"/>
      <c r="N28" s="102" t="n"/>
      <c r="O28" s="102" t="n"/>
      <c r="P28" s="102" t="n"/>
      <c r="Q28" s="102" t="n"/>
      <c r="R28" s="102" t="n"/>
    </row>
    <row r="29" ht="21" customHeight="1" s="59" thickBot="1">
      <c r="A29" s="81" t="n">
        <v>3</v>
      </c>
      <c r="B29" s="142">
        <f>B28*1.05</f>
        <v/>
      </c>
      <c r="C29" s="102" t="n"/>
      <c r="D29" s="102" t="n"/>
      <c r="E29" s="102" t="n"/>
      <c r="F29" s="135" t="n"/>
      <c r="G29" s="140" t="n"/>
      <c r="H29" s="140" t="n"/>
      <c r="I29" s="135" t="n"/>
      <c r="J29" s="135" t="n"/>
      <c r="K29" s="102" t="n"/>
      <c r="L29" s="102" t="n"/>
      <c r="M29" s="102" t="n"/>
      <c r="N29" s="102" t="n"/>
      <c r="O29" s="102" t="n"/>
      <c r="P29" s="102" t="n"/>
      <c r="Q29" s="102" t="n"/>
      <c r="R29" s="102" t="n"/>
    </row>
    <row r="30" ht="21" customHeight="1" s="59">
      <c r="A30" s="75" t="n">
        <v>4</v>
      </c>
      <c r="B30" s="143">
        <f>B29*1.05</f>
        <v/>
      </c>
      <c r="C30" s="102" t="n"/>
      <c r="D30" s="102" t="n"/>
      <c r="E30" s="102" t="n"/>
      <c r="F30" s="135" t="n"/>
      <c r="G30" s="140" t="n"/>
      <c r="H30" s="140" t="n"/>
      <c r="I30" s="135" t="n"/>
      <c r="J30" s="135" t="n"/>
      <c r="K30" s="102" t="n"/>
      <c r="L30" s="102" t="n"/>
      <c r="M30" s="102" t="n"/>
      <c r="N30" s="102" t="n"/>
      <c r="O30" s="102" t="n"/>
      <c r="P30" s="102" t="n"/>
      <c r="Q30" s="102" t="n"/>
      <c r="R30" s="102" t="n"/>
    </row>
    <row r="31" ht="21" customHeight="1" s="59">
      <c r="A31" s="81" t="n">
        <v>5</v>
      </c>
      <c r="B31" s="142">
        <f>B30*1.05</f>
        <v/>
      </c>
      <c r="C31" s="102" t="n"/>
      <c r="D31" s="102" t="n"/>
      <c r="E31" s="102" t="n"/>
      <c r="F31" s="135" t="n"/>
      <c r="G31" s="140" t="n"/>
      <c r="H31" s="140" t="n"/>
      <c r="I31" s="135" t="n"/>
      <c r="J31" s="135" t="n"/>
      <c r="K31" s="102" t="n"/>
      <c r="L31" s="102" t="n"/>
      <c r="M31" s="102" t="n"/>
      <c r="N31" s="102" t="n"/>
      <c r="O31" s="102" t="n"/>
      <c r="P31" s="102" t="n"/>
      <c r="Q31" s="102" t="n"/>
      <c r="R31" s="102" t="n"/>
    </row>
    <row r="32" ht="21" customHeight="1" s="59">
      <c r="A32" s="75" t="n">
        <v>6</v>
      </c>
      <c r="B32" s="143">
        <f>B31*1.05</f>
        <v/>
      </c>
      <c r="C32" s="102" t="n"/>
      <c r="D32" s="102" t="n"/>
      <c r="E32" s="102" t="n"/>
      <c r="F32" s="135" t="n"/>
      <c r="G32" s="140" t="n"/>
      <c r="H32" s="140" t="n"/>
      <c r="I32" s="135" t="n"/>
      <c r="J32" s="135" t="n"/>
      <c r="K32" s="102" t="n"/>
      <c r="L32" s="102" t="n"/>
      <c r="M32" s="102" t="n"/>
      <c r="N32" s="102" t="n"/>
      <c r="O32" s="102" t="n"/>
      <c r="P32" s="102" t="n"/>
      <c r="Q32" s="102" t="n"/>
      <c r="R32" s="102" t="n"/>
    </row>
    <row r="33" ht="21" customHeight="1" s="59">
      <c r="A33" s="81" t="n">
        <v>7</v>
      </c>
      <c r="B33" s="142">
        <f>B32*1.05</f>
        <v/>
      </c>
      <c r="C33" s="102" t="n"/>
      <c r="D33" s="102" t="n"/>
      <c r="E33" s="102" t="n"/>
      <c r="F33" s="135" t="n"/>
      <c r="G33" s="140" t="n"/>
      <c r="H33" s="140" t="n"/>
      <c r="I33" s="135" t="n"/>
      <c r="J33" s="135" t="n"/>
      <c r="K33" s="102" t="n"/>
      <c r="L33" s="102" t="n"/>
      <c r="M33" s="102" t="n"/>
      <c r="N33" s="102" t="n"/>
      <c r="O33" s="102" t="n"/>
      <c r="P33" s="102" t="n"/>
      <c r="Q33" s="102" t="n"/>
      <c r="R33" s="102" t="n"/>
    </row>
    <row r="34" ht="21" customHeight="1" s="59" thickBot="1">
      <c r="A34" s="75" t="n">
        <v>8</v>
      </c>
      <c r="B34" s="143">
        <f>B33*1.05</f>
        <v/>
      </c>
      <c r="C34" s="102" t="n"/>
      <c r="D34" s="102" t="n"/>
      <c r="E34" s="102" t="n"/>
      <c r="F34" s="102" t="n"/>
      <c r="G34" s="102" t="n"/>
      <c r="H34" s="102" t="n"/>
      <c r="I34" s="135" t="n"/>
      <c r="J34" s="135" t="n"/>
      <c r="K34" s="102" t="n"/>
      <c r="L34" s="102" t="n"/>
      <c r="M34" s="102" t="n"/>
      <c r="N34" s="102" t="n"/>
      <c r="O34" s="102" t="n"/>
      <c r="P34" s="102" t="n"/>
      <c r="Q34" s="102" t="n"/>
      <c r="R34" s="102" t="n"/>
    </row>
    <row r="35" ht="21" customHeight="1" s="59" thickBot="1">
      <c r="A35" s="81" t="n">
        <v>9</v>
      </c>
      <c r="B35" s="142">
        <f>B34*1.05</f>
        <v/>
      </c>
      <c r="C35" s="102" t="n"/>
      <c r="D35" s="102" t="n"/>
      <c r="E35" s="102" t="n"/>
      <c r="F35" s="102" t="n"/>
      <c r="G35" s="102" t="n"/>
      <c r="H35" s="102" t="n"/>
      <c r="I35" s="135" t="n"/>
      <c r="J35" s="135" t="n"/>
      <c r="K35" s="102" t="n"/>
      <c r="L35" s="102" t="n"/>
      <c r="M35" s="102" t="n"/>
      <c r="N35" s="102" t="n"/>
      <c r="O35" s="102" t="n"/>
      <c r="P35" s="102" t="n"/>
      <c r="Q35" s="102" t="n"/>
      <c r="R35" s="102" t="n"/>
    </row>
    <row r="36" ht="21" customHeight="1" s="59" thickBot="1">
      <c r="A36" s="75" t="n">
        <v>10</v>
      </c>
      <c r="B36" s="143">
        <f>B35*1.05</f>
        <v/>
      </c>
      <c r="C36" s="102" t="n"/>
      <c r="D36" s="102" t="n"/>
      <c r="E36" s="102" t="n"/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P36" s="102" t="n"/>
      <c r="Q36" s="102" t="n"/>
      <c r="R36" s="102" t="n"/>
    </row>
    <row r="37" ht="21" customHeight="1" s="59">
      <c r="A37" s="102" t="n"/>
      <c r="B37" s="107" t="n"/>
      <c r="C37" s="102" t="n"/>
      <c r="D37" s="102" t="n"/>
      <c r="E37" s="102" t="n"/>
      <c r="F37" s="102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P37" s="102" t="n"/>
      <c r="Q37" s="102" t="n"/>
      <c r="R37" s="102" t="n"/>
    </row>
    <row r="38" ht="21" customHeight="1" s="59">
      <c r="A38" s="102" t="n"/>
      <c r="B38" s="107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P38" s="102" t="n"/>
      <c r="Q38" s="102" t="n"/>
      <c r="R38" s="102" t="n"/>
    </row>
    <row r="39" ht="21" customHeight="1" s="59" thickBot="1">
      <c r="A39" s="102" t="n"/>
      <c r="B39" s="102" t="n"/>
      <c r="C39" s="102" t="n"/>
      <c r="D39" s="102" t="n"/>
      <c r="E39" s="102" t="n"/>
      <c r="F39" s="102" t="n"/>
      <c r="G39" s="102" t="n"/>
      <c r="H39" s="102" t="n"/>
      <c r="I39" s="102" t="n"/>
      <c r="J39" s="102" t="n"/>
      <c r="K39" s="102" t="n"/>
      <c r="L39" s="102" t="n"/>
      <c r="M39" s="102" t="n"/>
      <c r="N39" s="102" t="n"/>
      <c r="O39" s="102" t="n"/>
      <c r="P39" s="102" t="n"/>
      <c r="Q39" s="102" t="n"/>
      <c r="R39" s="102" t="n"/>
    </row>
    <row r="40" ht="21" customHeight="1" s="59">
      <c r="A40" s="103" t="inlineStr">
        <is>
          <t>제품 교체비용[매3년]</t>
        </is>
      </c>
      <c r="B40" s="144">
        <f>ROUNDDOWN((8/3),0)</f>
        <v/>
      </c>
      <c r="C40" s="102" t="n"/>
      <c r="D40" s="102" t="n"/>
      <c r="E40" s="102" t="n"/>
      <c r="F40" s="102" t="n"/>
      <c r="G40" s="102" t="n"/>
      <c r="H40" s="102" t="n"/>
      <c r="I40" s="102" t="n"/>
      <c r="J40" s="102" t="n"/>
      <c r="K40" s="102" t="n"/>
      <c r="L40" s="102" t="n"/>
      <c r="M40" s="102" t="n"/>
      <c r="N40" s="102" t="n"/>
      <c r="O40" s="102" t="n"/>
      <c r="P40" s="102" t="n"/>
      <c r="Q40" s="102" t="n"/>
      <c r="R40" s="102" t="n"/>
    </row>
    <row r="41" ht="21" customHeight="1" s="59">
      <c r="A41" s="103" t="inlineStr">
        <is>
          <t>led평균단가(제품+시설)</t>
        </is>
      </c>
      <c r="B41" s="143" t="n">
        <v>30000</v>
      </c>
      <c r="C41" s="102" t="n"/>
      <c r="D41" s="102" t="n"/>
      <c r="E41" s="102" t="n"/>
      <c r="F41" s="102" t="n"/>
      <c r="G41" s="102" t="n"/>
      <c r="H41" s="102" t="n"/>
      <c r="I41" s="102" t="n"/>
      <c r="J41" s="102" t="n"/>
      <c r="K41" s="102" t="n"/>
      <c r="L41" s="102" t="n"/>
      <c r="M41" s="102" t="n"/>
      <c r="N41" s="102" t="n"/>
      <c r="O41" s="102" t="n"/>
      <c r="P41" s="102" t="n"/>
      <c r="Q41" s="102" t="n"/>
      <c r="R41" s="102" t="n"/>
    </row>
    <row r="42" ht="21" customHeight="1" s="59" thickBot="1">
      <c r="A42" s="103" t="n"/>
      <c r="B42" s="143">
        <f>B41*B40*B5</f>
        <v/>
      </c>
      <c r="C42" s="102" t="n"/>
      <c r="D42" s="102" t="n"/>
      <c r="E42" s="102" t="n"/>
      <c r="F42" s="102" t="n"/>
      <c r="G42" s="102" t="n"/>
      <c r="H42" s="102" t="n"/>
      <c r="I42" s="102" t="n"/>
      <c r="J42" s="102" t="n"/>
      <c r="K42" s="102" t="n"/>
      <c r="L42" s="102" t="n"/>
      <c r="M42" s="102" t="n"/>
      <c r="N42" s="102" t="n"/>
      <c r="O42" s="102" t="n"/>
      <c r="P42" s="102" t="n"/>
      <c r="Q42" s="102" t="n"/>
      <c r="R42" s="102" t="n"/>
    </row>
    <row r="43" ht="21" customHeight="1" s="59">
      <c r="A43" s="102" t="n"/>
      <c r="B43" s="102" t="n"/>
      <c r="C43" s="102" t="n"/>
      <c r="D43" s="102" t="n"/>
      <c r="E43" s="102" t="n"/>
      <c r="F43" s="102" t="n"/>
      <c r="G43" s="102" t="n"/>
      <c r="H43" s="102" t="n"/>
      <c r="I43" s="102" t="n"/>
      <c r="J43" s="102" t="n"/>
      <c r="K43" s="102" t="n"/>
      <c r="L43" s="102" t="n"/>
      <c r="M43" s="102" t="n"/>
      <c r="N43" s="102" t="n"/>
      <c r="O43" s="102" t="n"/>
      <c r="P43" s="102" t="n"/>
      <c r="Q43" s="102" t="n"/>
      <c r="R43" s="102" t="n"/>
    </row>
    <row r="44" ht="21" customHeight="1" s="59">
      <c r="A44" s="102" t="n"/>
      <c r="B44" s="102" t="n"/>
      <c r="C44" s="102" t="n"/>
      <c r="D44" s="102" t="n"/>
      <c r="E44" s="102" t="n"/>
      <c r="F44" s="102" t="n"/>
      <c r="G44" s="102" t="n"/>
      <c r="H44" s="102" t="n"/>
      <c r="I44" s="102" t="n"/>
      <c r="J44" s="102" t="n"/>
      <c r="K44" s="102" t="n"/>
      <c r="L44" s="102" t="n"/>
      <c r="M44" s="102" t="n"/>
      <c r="N44" s="102" t="n"/>
      <c r="O44" s="102" t="n"/>
      <c r="P44" s="102" t="n"/>
      <c r="Q44" s="102" t="n"/>
      <c r="R44" s="102" t="n"/>
    </row>
    <row r="45" ht="21" customHeight="1" s="59">
      <c r="A45" s="102" t="n"/>
      <c r="B45" s="102" t="n"/>
      <c r="C45" s="102" t="n"/>
      <c r="D45" s="102" t="n"/>
      <c r="E45" s="102" t="n"/>
      <c r="F45" s="102" t="n"/>
      <c r="G45" s="102" t="n"/>
      <c r="H45" s="102" t="n"/>
      <c r="I45" s="102" t="n"/>
      <c r="J45" s="102" t="n"/>
      <c r="K45" s="102" t="n"/>
      <c r="L45" s="102" t="n"/>
      <c r="M45" s="102" t="n"/>
      <c r="N45" s="102" t="n"/>
      <c r="O45" s="102" t="n"/>
      <c r="P45" s="102" t="n"/>
      <c r="Q45" s="102" t="n"/>
      <c r="R45" s="102" t="n"/>
    </row>
  </sheetData>
  <mergeCells count="8">
    <mergeCell ref="G20:H20"/>
    <mergeCell ref="I20:J20"/>
    <mergeCell ref="G2:H2"/>
    <mergeCell ref="E35:H35"/>
    <mergeCell ref="I2:J2"/>
    <mergeCell ref="F20:F23"/>
    <mergeCell ref="E15:H15"/>
    <mergeCell ref="F2:F3"/>
  </mergeCells>
  <pageMargins left="0.4" right="0.4" top="0.5" bottom="0.5" header="0.5" footer="0.5"/>
  <pageSetup orientation="landscape" paperSize="9" scale="62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yoon</dc:creator>
  <dcterms:created xmlns:dcterms="http://purl.org/dc/terms/" xmlns:xsi="http://www.w3.org/2001/XMLSchema-instance" xsi:type="dcterms:W3CDTF">2025-03-26T01:02:50Z</dcterms:created>
  <dcterms:modified xmlns:dcterms="http://purl.org/dc/terms/" xmlns:xsi="http://www.w3.org/2001/XMLSchema-instance" xsi:type="dcterms:W3CDTF">2026-10-23T15:15:26Z</dcterms:modified>
  <cp:lastModifiedBy>daniel yoon</cp:lastModifiedBy>
  <cp:lastPrinted>2026-09-04T01:29:10Z</cp:lastPrinted>
</cp:coreProperties>
</file>
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영업자료 생성 sw\"/>
    </mc:Choice>
  </mc:AlternateContent>
  <xr:revisionPtr revIDLastSave="0" documentId="13_ncr:1_{BADC0D6F-C252-4B9F-9ECF-22EBED6FF716}" xr6:coauthVersionLast="47" xr6:coauthVersionMax="47" xr10:uidLastSave="{00000000-0000-0000-0000-000000000000}"/>
  <bookViews>
    <workbookView xWindow="2205" yWindow="2100" windowWidth="30045" windowHeight="17400" xr2:uid="{FEAC3D63-CDCE-43A6-8F0C-E82B9E62C72A}"/>
  </bookViews>
  <sheets>
    <sheet name="Sheet1" sheetId="1" r:id="rId1"/>
  </sheets>
  <definedNames>
    <definedName name="_xlnm.Print_Area" localSheetId="0">Sheet1!$A$1:$K$37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17" i="1"/>
  <c r="B18" i="1"/>
  <c r="G11" i="1" l="1"/>
  <c r="G12" i="1"/>
  <c r="G13" i="1"/>
  <c r="G5" i="1"/>
  <c r="G6" i="1"/>
  <c r="G7" i="1"/>
  <c r="G8" i="1"/>
  <c r="G9" i="1"/>
  <c r="G10" i="1"/>
  <c r="G4" i="1"/>
  <c r="B40" i="1" l="1"/>
  <c r="B42" i="1" s="1"/>
  <c r="J14" i="1" s="1"/>
  <c r="B6" i="1"/>
  <c r="B7" i="1" l="1"/>
  <c r="B9" i="1" l="1"/>
  <c r="B19" i="1" l="1"/>
  <c r="B27" i="1" s="1"/>
  <c r="F4" i="1" l="1"/>
  <c r="B28" i="1"/>
  <c r="J4" i="1" l="1"/>
  <c r="B29" i="1"/>
  <c r="F5" i="1"/>
  <c r="J5" i="1" l="1"/>
  <c r="I5" i="1"/>
  <c r="B30" i="1"/>
  <c r="F6" i="1"/>
  <c r="J6" i="1" l="1"/>
  <c r="I6" i="1"/>
  <c r="F7" i="1"/>
  <c r="B31" i="1"/>
  <c r="B32" i="1" l="1"/>
  <c r="F8" i="1"/>
  <c r="J7" i="1"/>
  <c r="I7" i="1"/>
  <c r="J8" i="1" l="1"/>
  <c r="I8" i="1"/>
  <c r="B33" i="1"/>
  <c r="F9" i="1"/>
  <c r="J9" i="1" l="1"/>
  <c r="I9" i="1"/>
  <c r="B34" i="1"/>
  <c r="F11" i="1" s="1"/>
  <c r="F10" i="1"/>
  <c r="J11" i="1" l="1"/>
  <c r="I11" i="1"/>
  <c r="B35" i="1"/>
  <c r="F12" i="1" s="1"/>
  <c r="J10" i="1"/>
  <c r="I10" i="1"/>
  <c r="J12" i="1" l="1"/>
  <c r="I12" i="1"/>
  <c r="B36" i="1"/>
  <c r="I4" i="1"/>
  <c r="F13" i="1" l="1"/>
  <c r="J13" i="1" l="1"/>
  <c r="J15" i="1" s="1"/>
  <c r="I13" i="1"/>
  <c r="I15" i="1" s="1"/>
</calcChain>
</file>

<file path=xl/sharedStrings.xml><?xml version="1.0" encoding="utf-8"?>
<sst xmlns="http://schemas.openxmlformats.org/spreadsheetml/2006/main" count="37" uniqueCount="35">
  <si>
    <t>전기사용량 비교</t>
    <phoneticPr fontId="2" type="noConversion"/>
  </si>
  <si>
    <t>일 사용량[KW]</t>
    <phoneticPr fontId="2" type="noConversion"/>
  </si>
  <si>
    <t>전기요금[원/KW]</t>
    <phoneticPr fontId="2" type="noConversion"/>
  </si>
  <si>
    <t>에너지 Saving Ratio</t>
    <phoneticPr fontId="2" type="noConversion"/>
  </si>
  <si>
    <t>년간 전력사용량 [kWh]</t>
    <phoneticPr fontId="2" type="noConversion"/>
  </si>
  <si>
    <t>연간 절감 전력 [kWh]</t>
    <phoneticPr fontId="2" type="noConversion"/>
  </si>
  <si>
    <t>연간 절감 요금 [원]</t>
    <phoneticPr fontId="2" type="noConversion"/>
  </si>
  <si>
    <t>년차별 절감 예상</t>
    <phoneticPr fontId="2" type="noConversion"/>
  </si>
  <si>
    <t>5% 전기용금 상승 기준</t>
    <phoneticPr fontId="2" type="noConversion"/>
  </si>
  <si>
    <t>제품 교체비용[매3년]</t>
    <phoneticPr fontId="2" type="noConversion"/>
  </si>
  <si>
    <t>led평균단가(제품+시설)</t>
    <phoneticPr fontId="2" type="noConversion"/>
  </si>
  <si>
    <t>투자비_LED단가적용(제품,시설 및 기타)</t>
    <phoneticPr fontId="2" type="noConversion"/>
  </si>
  <si>
    <t>수익</t>
    <phoneticPr fontId="2" type="noConversion"/>
  </si>
  <si>
    <t>성과공유</t>
    <phoneticPr fontId="2" type="noConversion"/>
  </si>
  <si>
    <t>년</t>
    <phoneticPr fontId="2" type="noConversion"/>
  </si>
  <si>
    <t>수익자</t>
    <phoneticPr fontId="2" type="noConversion"/>
  </si>
  <si>
    <t>운영사</t>
    <phoneticPr fontId="2" type="noConversion"/>
  </si>
  <si>
    <t>건물</t>
    <phoneticPr fontId="2" type="noConversion"/>
  </si>
  <si>
    <t>비율정의</t>
    <phoneticPr fontId="2" type="noConversion"/>
  </si>
  <si>
    <t>운영수익</t>
    <phoneticPr fontId="2" type="noConversion"/>
  </si>
  <si>
    <t>건물주 추가투지비용 절감액</t>
    <phoneticPr fontId="2" type="noConversion"/>
  </si>
  <si>
    <t>총계</t>
    <phoneticPr fontId="2" type="noConversion"/>
  </si>
  <si>
    <t>절감율 산출</t>
    <phoneticPr fontId="2" type="noConversion"/>
  </si>
  <si>
    <t>고객명</t>
    <phoneticPr fontId="2" type="noConversion"/>
  </si>
  <si>
    <t>현재 등 효율 [lm/W]</t>
    <phoneticPr fontId="2" type="noConversion"/>
  </si>
  <si>
    <t>M-Carbon 등 효율 [lm/W]</t>
    <phoneticPr fontId="2" type="noConversion"/>
  </si>
  <si>
    <t>Smart IoT추가 절감효율 [%]</t>
    <phoneticPr fontId="2" type="noConversion"/>
  </si>
  <si>
    <t>input information</t>
    <phoneticPr fontId="2" type="noConversion"/>
  </si>
  <si>
    <t>Calculated</t>
    <phoneticPr fontId="2" type="noConversion"/>
  </si>
  <si>
    <t>소비전력[W]</t>
    <phoneticPr fontId="2" type="noConversion"/>
  </si>
  <si>
    <t>일일점등시간[시간]</t>
    <phoneticPr fontId="2" type="noConversion"/>
  </si>
  <si>
    <t>LED 등수</t>
    <phoneticPr fontId="2" type="noConversion"/>
  </si>
  <si>
    <t>현재 기준 년간 전기요금</t>
    <phoneticPr fontId="2" type="noConversion"/>
  </si>
  <si>
    <t>추가시설비 단가</t>
    <phoneticPr fontId="2" type="noConversion"/>
  </si>
  <si>
    <t>회수/10년 기준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</si>
</sst>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_-[$₩-412]* #,##0_-;\-[$₩-412]* #,##0_-;_-[$₩-412]* &quot;-&quot;??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뫼비우스 Regular"/>
      <family val="3"/>
      <charset val="129"/>
    </font>
    <font>
      <sz val="11"/>
      <color theme="0"/>
      <name val="뫼비우스 Regular"/>
      <family val="3"/>
      <charset val="129"/>
    </font>
    <font>
      <sz val="11"/>
      <name val="뫼비우스 Regular"/>
      <family val="3"/>
      <charset val="129"/>
    </font>
    <font>
      <sz val="11"/>
      <color rgb="FFFF0000"/>
      <name val="뫼비우스 Regular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3" fillId="0" borderId="0" xfId="0" applyFont="1">
      <alignment vertical="center"/>
    </xf>
    <xf numFmtId="9" fontId="3" fillId="0" borderId="0" xfId="0" applyNumberFormat="1" applyFont="1">
      <alignment vertical="center"/>
    </xf>
    <xf numFmtId="41" fontId="3" fillId="0" borderId="0" xfId="0" applyNumberFormat="1" applyFont="1">
      <alignment vertical="center"/>
    </xf>
    <xf numFmtId="41" fontId="3" fillId="0" borderId="0" xfId="1" applyFont="1">
      <alignment vertical="center"/>
    </xf>
    <xf numFmtId="0" fontId="3" fillId="5" borderId="7" xfId="0" applyFont="1" applyFill="1" applyBorder="1">
      <alignment vertical="center"/>
    </xf>
    <xf numFmtId="176" fontId="3" fillId="5" borderId="9" xfId="0" applyNumberFormat="1" applyFont="1" applyFill="1" applyBorder="1">
      <alignment vertical="center"/>
    </xf>
    <xf numFmtId="0" fontId="3" fillId="5" borderId="0" xfId="0" applyFont="1" applyFill="1">
      <alignment vertical="center"/>
    </xf>
    <xf numFmtId="41" fontId="3" fillId="4" borderId="7" xfId="0" applyNumberFormat="1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>
      <alignment vertical="center"/>
    </xf>
    <xf numFmtId="41" fontId="3" fillId="0" borderId="3" xfId="1" applyFont="1" applyBorder="1">
      <alignment vertical="center"/>
    </xf>
    <xf numFmtId="0" fontId="3" fillId="0" borderId="4" xfId="0" applyFont="1" applyBorder="1">
      <alignment vertical="center"/>
    </xf>
    <xf numFmtId="41" fontId="3" fillId="0" borderId="0" xfId="1" applyFont="1" applyBorder="1">
      <alignment vertical="center"/>
    </xf>
    <xf numFmtId="0" fontId="3" fillId="0" borderId="5" xfId="0" applyFont="1" applyBorder="1">
      <alignment vertical="center"/>
    </xf>
    <xf numFmtId="41" fontId="3" fillId="0" borderId="6" xfId="1" applyFont="1" applyBorder="1">
      <alignment vertical="center"/>
    </xf>
    <xf numFmtId="41" fontId="4" fillId="7" borderId="0" xfId="1" applyFont="1" applyFill="1" applyBorder="1">
      <alignment vertical="center"/>
    </xf>
    <xf numFmtId="0" fontId="4" fillId="7" borderId="5" xfId="0" applyFont="1" applyFill="1" applyBorder="1">
      <alignment vertical="center"/>
    </xf>
    <xf numFmtId="41" fontId="4" fillId="7" borderId="6" xfId="1" applyFont="1" applyFill="1" applyBorder="1">
      <alignment vertical="center"/>
    </xf>
    <xf numFmtId="0" fontId="4" fillId="7" borderId="4" xfId="0" applyFont="1" applyFill="1" applyBorder="1">
      <alignment vertical="center"/>
    </xf>
    <xf numFmtId="41" fontId="4" fillId="0" borderId="0" xfId="0" applyNumberFormat="1" applyFont="1">
      <alignment vertical="center"/>
    </xf>
    <xf numFmtId="41" fontId="4" fillId="0" borderId="0" xfId="0" applyNumberFormat="1" applyFont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1" fontId="3" fillId="0" borderId="8" xfId="0" applyNumberFormat="1" applyFont="1" applyBorder="1" applyAlignment="1">
      <alignment horizontal="center" vertical="center"/>
    </xf>
    <xf numFmtId="9" fontId="4" fillId="7" borderId="8" xfId="0" applyNumberFormat="1" applyFont="1" applyFill="1" applyBorder="1">
      <alignment vertical="center"/>
    </xf>
    <xf numFmtId="41" fontId="3" fillId="0" borderId="8" xfId="0" applyNumberFormat="1" applyFont="1" applyBorder="1">
      <alignment vertical="center"/>
    </xf>
    <xf numFmtId="0" fontId="3" fillId="0" borderId="8" xfId="0" applyFont="1" applyBorder="1">
      <alignment vertical="center"/>
    </xf>
    <xf numFmtId="41" fontId="4" fillId="0" borderId="8" xfId="0" applyNumberFormat="1" applyFont="1" applyBorder="1">
      <alignment vertical="center"/>
    </xf>
    <xf numFmtId="41" fontId="5" fillId="0" borderId="8" xfId="0" applyNumberFormat="1" applyFont="1" applyBorder="1">
      <alignment vertical="center"/>
    </xf>
    <xf numFmtId="0" fontId="3" fillId="2" borderId="0" xfId="0" applyFont="1" applyFill="1">
      <alignment vertical="center"/>
    </xf>
    <xf numFmtId="43" fontId="3" fillId="0" borderId="0" xfId="0" applyNumberFormat="1" applyFont="1">
      <alignment vertical="center"/>
    </xf>
    <xf numFmtId="41" fontId="6" fillId="0" borderId="0" xfId="0" applyNumberFormat="1" applyFont="1">
      <alignment vertical="center"/>
    </xf>
    <xf numFmtId="176" fontId="6" fillId="5" borderId="0" xfId="0" applyNumberFormat="1" applyFont="1" applyFill="1">
      <alignment vertical="center"/>
    </xf>
    <xf numFmtId="0" fontId="3" fillId="0" borderId="8" xfId="0" applyFont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3" borderId="0" xfId="0" applyFont="1" applyFill="1">
      <alignment vertical="center"/>
    </xf>
    <xf numFmtId="0" fontId="3" fillId="2" borderId="1" xfId="0" applyFont="1" applyFill="1" applyBorder="1">
      <alignment vertical="center"/>
    </xf>
    <xf numFmtId="41" fontId="3" fillId="2" borderId="1" xfId="1" applyFont="1" applyFill="1" applyBorder="1">
      <alignment vertical="center"/>
    </xf>
    <xf numFmtId="9" fontId="3" fillId="3" borderId="0" xfId="0" applyNumberFormat="1" applyFont="1" applyFill="1">
      <alignment vertical="center"/>
    </xf>
    <xf numFmtId="2" fontId="3" fillId="0" borderId="0" xfId="0" applyNumberFormat="1" applyFont="1">
      <alignment vertical="center"/>
    </xf>
    <xf numFmtId="0" fontId="4" fillId="0" borderId="0" xfId="0" applyFont="1" applyFill="1" applyBorder="1">
      <alignment vertical="center"/>
    </xf>
    <xf numFmtId="41" fontId="4" fillId="0" borderId="0" xfId="0" applyNumberFormat="1" applyFont="1" applyFill="1" applyBorder="1">
      <alignment vertical="center"/>
    </xf>
    <xf numFmtId="9" fontId="3" fillId="0" borderId="0" xfId="2" applyFont="1" applyFill="1" applyBorder="1">
      <alignment vertical="center"/>
    </xf>
    <xf numFmtId="41" fontId="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41" fontId="3" fillId="0" borderId="0" xfId="0" applyNumberFormat="1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41" fontId="3" fillId="0" borderId="0" xfId="0" applyNumberFormat="1" applyFont="1" applyFill="1" applyBorder="1" applyAlignment="1">
      <alignment horizontal="center" vertical="center"/>
    </xf>
    <xf numFmtId="9" fontId="4" fillId="0" borderId="0" xfId="0" applyNumberFormat="1" applyFont="1" applyFill="1" applyBorder="1">
      <alignment vertical="center"/>
    </xf>
    <xf numFmtId="41" fontId="5" fillId="0" borderId="0" xfId="0" applyNumberFormat="1" applyFont="1" applyFill="1" applyBorder="1">
      <alignment vertical="center"/>
    </xf>
    <xf numFmtId="176" fontId="3" fillId="0" borderId="0" xfId="0" applyNumberFormat="1" applyFont="1" applyFill="1" applyBorder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6F43-CA27-4AEF-A6E3-EB5B4E72AA50}">
  <sheetPr>
    <pageSetUpPr fitToPage="1"/>
  </sheetPr>
  <dimension ref="A1:R42"/>
  <sheetViews>
    <sheetView tabSelected="1" workbookViewId="0">
      <selection activeCell="B24" sqref="B24"/>
    </sheetView>
  </sheetViews>
  <sheetFormatPr defaultColWidth="9" defaultRowHeight="15" x14ac:dyDescent="0.3"/>
  <cols>
    <col min="1" max="1" width="31.875" style="1" customWidth="1"/>
    <col min="2" max="2" width="26.125" style="1" customWidth="1"/>
    <col min="3" max="4" width="2.125" style="1" customWidth="1"/>
    <col min="5" max="5" width="8.875" style="1" customWidth="1"/>
    <col min="6" max="6" width="12.625" style="1" bestFit="1" customWidth="1"/>
    <col min="7" max="7" width="7" style="1" customWidth="1"/>
    <col min="8" max="8" width="6" style="1" customWidth="1"/>
    <col min="9" max="9" width="14.875" style="1" bestFit="1" customWidth="1"/>
    <col min="10" max="10" width="13.875" style="1" bestFit="1" customWidth="1"/>
    <col min="11" max="11" width="11.5" style="1" bestFit="1" customWidth="1"/>
    <col min="12" max="12" width="11.75" style="1" bestFit="1" customWidth="1"/>
    <col min="13" max="14" width="9" style="1"/>
    <col min="15" max="15" width="14.5" style="1" bestFit="1" customWidth="1"/>
    <col min="16" max="18" width="12.375" style="1" bestFit="1" customWidth="1"/>
    <col min="19" max="16384" width="9" style="1"/>
  </cols>
  <sheetData>
    <row r="1" spans="1:18" x14ac:dyDescent="0.3">
      <c r="A1" s="1" t="s">
        <v>0</v>
      </c>
      <c r="E1" s="1" t="s">
        <v>13</v>
      </c>
    </row>
    <row r="2" spans="1:18" x14ac:dyDescent="0.3">
      <c r="A2" s="31" t="s">
        <v>23</v>
      </c>
      <c r="B2" s="31"/>
      <c r="E2" s="22" t="s">
        <v>14</v>
      </c>
      <c r="F2" s="36" t="s">
        <v>19</v>
      </c>
      <c r="G2" s="38" t="s">
        <v>18</v>
      </c>
      <c r="H2" s="38"/>
      <c r="I2" s="39" t="s">
        <v>12</v>
      </c>
      <c r="J2" s="39"/>
      <c r="L2" s="31"/>
      <c r="M2" s="1" t="s">
        <v>27</v>
      </c>
      <c r="P2" s="4"/>
      <c r="Q2" s="32"/>
    </row>
    <row r="3" spans="1:18" x14ac:dyDescent="0.3">
      <c r="A3" s="31" t="s">
        <v>29</v>
      </c>
      <c r="B3" s="31">
        <v>32</v>
      </c>
      <c r="E3" s="22" t="s">
        <v>15</v>
      </c>
      <c r="F3" s="37"/>
      <c r="G3" s="23" t="s">
        <v>16</v>
      </c>
      <c r="H3" s="23" t="s">
        <v>17</v>
      </c>
      <c r="I3" s="22" t="s">
        <v>16</v>
      </c>
      <c r="J3" s="22" t="s">
        <v>17</v>
      </c>
      <c r="L3" s="40"/>
      <c r="M3" s="1" t="s">
        <v>28</v>
      </c>
    </row>
    <row r="4" spans="1:18" ht="15.75" thickBot="1" x14ac:dyDescent="0.35">
      <c r="A4" s="31" t="s">
        <v>30</v>
      </c>
      <c r="B4" s="31">
        <v>24</v>
      </c>
      <c r="E4" s="24">
        <v>1</v>
      </c>
      <c r="F4" s="25">
        <f>B27</f>
        <v>48113423.999999993</v>
      </c>
      <c r="G4" s="26">
        <f>1-H4</f>
        <v>0.8</v>
      </c>
      <c r="H4" s="26">
        <v>0.2</v>
      </c>
      <c r="I4" s="27">
        <f>$F4*G4</f>
        <v>38490739.199999996</v>
      </c>
      <c r="J4" s="27">
        <f>$F4*H4</f>
        <v>9622684.7999999989</v>
      </c>
      <c r="P4" s="32"/>
      <c r="Q4" s="32"/>
      <c r="R4" s="32"/>
    </row>
    <row r="5" spans="1:18" ht="15.75" thickBot="1" x14ac:dyDescent="0.35">
      <c r="A5" s="41" t="s">
        <v>31</v>
      </c>
      <c r="B5" s="42">
        <v>995</v>
      </c>
      <c r="E5" s="24">
        <v>2</v>
      </c>
      <c r="F5" s="25">
        <f>B28</f>
        <v>50519095.199999996</v>
      </c>
      <c r="G5" s="26">
        <f t="shared" ref="G5:G13" si="0">1-H5</f>
        <v>0.8</v>
      </c>
      <c r="H5" s="26">
        <v>0.2</v>
      </c>
      <c r="I5" s="27">
        <f t="shared" ref="I5:I10" si="1">$F5*G5</f>
        <v>40415276.159999996</v>
      </c>
      <c r="J5" s="27">
        <f t="shared" ref="J5:J13" si="2">$F5*H5</f>
        <v>10103819.039999999</v>
      </c>
    </row>
    <row r="6" spans="1:18" x14ac:dyDescent="0.3">
      <c r="A6" s="1" t="s">
        <v>1</v>
      </c>
      <c r="B6" s="1">
        <f>B3*B4*B5/1000</f>
        <v>764.16</v>
      </c>
      <c r="E6" s="24">
        <v>3</v>
      </c>
      <c r="F6" s="25">
        <f>B29</f>
        <v>53045049.960000001</v>
      </c>
      <c r="G6" s="26">
        <f t="shared" si="0"/>
        <v>0.8</v>
      </c>
      <c r="H6" s="26">
        <v>0.2</v>
      </c>
      <c r="I6" s="27">
        <f t="shared" si="1"/>
        <v>42436039.968000002</v>
      </c>
      <c r="J6" s="27">
        <f t="shared" si="2"/>
        <v>10609009.992000001</v>
      </c>
      <c r="M6" s="44"/>
    </row>
    <row r="7" spans="1:18" x14ac:dyDescent="0.3">
      <c r="A7" s="1" t="s">
        <v>4</v>
      </c>
      <c r="B7" s="4">
        <f>B6*365</f>
        <v>278918.39999999997</v>
      </c>
      <c r="E7" s="24">
        <v>4</v>
      </c>
      <c r="F7" s="25">
        <f>B30</f>
        <v>55697302.458000004</v>
      </c>
      <c r="G7" s="26">
        <f t="shared" si="0"/>
        <v>0.7</v>
      </c>
      <c r="H7" s="26">
        <v>0.3</v>
      </c>
      <c r="I7" s="27">
        <f t="shared" si="1"/>
        <v>38988111.720600002</v>
      </c>
      <c r="J7" s="27">
        <f t="shared" si="2"/>
        <v>16709190.737400001</v>
      </c>
    </row>
    <row r="8" spans="1:18" ht="15.75" thickBot="1" x14ac:dyDescent="0.35">
      <c r="A8" s="31" t="s">
        <v>2</v>
      </c>
      <c r="B8" s="31">
        <v>230</v>
      </c>
      <c r="E8" s="24">
        <v>5</v>
      </c>
      <c r="F8" s="25">
        <f>B31</f>
        <v>58482167.580900006</v>
      </c>
      <c r="G8" s="26">
        <f t="shared" si="0"/>
        <v>0.7</v>
      </c>
      <c r="H8" s="26">
        <v>0.3</v>
      </c>
      <c r="I8" s="27">
        <f t="shared" si="1"/>
        <v>40937517.30663</v>
      </c>
      <c r="J8" s="27">
        <f t="shared" si="2"/>
        <v>17544650.274270002</v>
      </c>
    </row>
    <row r="9" spans="1:18" ht="15.75" thickBot="1" x14ac:dyDescent="0.35">
      <c r="A9" s="5" t="s">
        <v>32</v>
      </c>
      <c r="B9" s="6">
        <f>B7*B8</f>
        <v>64151231.999999993</v>
      </c>
      <c r="E9" s="24">
        <v>6</v>
      </c>
      <c r="F9" s="25">
        <f>B32</f>
        <v>61406275.959945008</v>
      </c>
      <c r="G9" s="26">
        <f t="shared" si="0"/>
        <v>0.6</v>
      </c>
      <c r="H9" s="26">
        <v>0.4</v>
      </c>
      <c r="I9" s="27">
        <f t="shared" si="1"/>
        <v>36843765.575967006</v>
      </c>
      <c r="J9" s="27">
        <f t="shared" si="2"/>
        <v>24562510.383978005</v>
      </c>
    </row>
    <row r="10" spans="1:18" x14ac:dyDescent="0.3">
      <c r="A10" s="49"/>
      <c r="B10" s="58"/>
      <c r="E10" s="24">
        <v>7</v>
      </c>
      <c r="F10" s="25">
        <f>B33</f>
        <v>64476589.757942259</v>
      </c>
      <c r="G10" s="26">
        <f t="shared" si="0"/>
        <v>0.6</v>
      </c>
      <c r="H10" s="26">
        <v>0.4</v>
      </c>
      <c r="I10" s="27">
        <f t="shared" si="1"/>
        <v>38685953.854765356</v>
      </c>
      <c r="J10" s="27">
        <f t="shared" si="2"/>
        <v>25790635.903176904</v>
      </c>
    </row>
    <row r="11" spans="1:18" x14ac:dyDescent="0.3">
      <c r="A11" s="49"/>
      <c r="B11" s="58"/>
      <c r="E11" s="24">
        <v>8</v>
      </c>
      <c r="F11" s="25">
        <f>B34</f>
        <v>67700419.245839372</v>
      </c>
      <c r="G11" s="26">
        <f t="shared" si="0"/>
        <v>0</v>
      </c>
      <c r="H11" s="26">
        <v>1</v>
      </c>
      <c r="I11" s="27">
        <f t="shared" ref="I11:I13" si="3">$F11*G11</f>
        <v>0</v>
      </c>
      <c r="J11" s="27">
        <f t="shared" si="2"/>
        <v>67700419.245839372</v>
      </c>
    </row>
    <row r="12" spans="1:18" ht="16.5" customHeight="1" x14ac:dyDescent="0.3">
      <c r="A12" s="40" t="s">
        <v>22</v>
      </c>
      <c r="B12" s="40"/>
      <c r="E12" s="24">
        <v>9</v>
      </c>
      <c r="F12" s="25">
        <f>B35</f>
        <v>71085440.208131343</v>
      </c>
      <c r="G12" s="26">
        <f t="shared" si="0"/>
        <v>0</v>
      </c>
      <c r="H12" s="26">
        <v>1</v>
      </c>
      <c r="I12" s="27">
        <f t="shared" si="3"/>
        <v>0</v>
      </c>
      <c r="J12" s="27">
        <f t="shared" si="2"/>
        <v>71085440.208131343</v>
      </c>
    </row>
    <row r="13" spans="1:18" x14ac:dyDescent="0.3">
      <c r="A13" s="31" t="s">
        <v>24</v>
      </c>
      <c r="B13" s="31">
        <v>120</v>
      </c>
      <c r="E13" s="24">
        <v>10</v>
      </c>
      <c r="F13" s="25">
        <f>B36</f>
        <v>74639712.218537912</v>
      </c>
      <c r="G13" s="26">
        <f t="shared" si="0"/>
        <v>0</v>
      </c>
      <c r="H13" s="26">
        <v>1</v>
      </c>
      <c r="I13" s="27">
        <f t="shared" si="3"/>
        <v>0</v>
      </c>
      <c r="J13" s="27">
        <f t="shared" si="2"/>
        <v>74639712.218537912</v>
      </c>
    </row>
    <row r="14" spans="1:18" x14ac:dyDescent="0.3">
      <c r="A14" s="31" t="s">
        <v>25</v>
      </c>
      <c r="B14" s="31">
        <v>180</v>
      </c>
      <c r="E14" s="28" t="s">
        <v>20</v>
      </c>
      <c r="F14" s="28"/>
      <c r="G14" s="28"/>
      <c r="H14" s="28"/>
      <c r="I14" s="29"/>
      <c r="J14" s="27">
        <f>B42</f>
        <v>59700000</v>
      </c>
    </row>
    <row r="15" spans="1:18" x14ac:dyDescent="0.3">
      <c r="A15" s="40" t="s">
        <v>26</v>
      </c>
      <c r="B15" s="43">
        <v>0.25</v>
      </c>
      <c r="E15" s="35" t="s">
        <v>21</v>
      </c>
      <c r="F15" s="35"/>
      <c r="G15" s="35"/>
      <c r="H15" s="35"/>
      <c r="I15" s="30">
        <f>SUM(I4:I13)</f>
        <v>276797403.78596234</v>
      </c>
      <c r="J15" s="30">
        <f>SUM(J4:J14)</f>
        <v>388068072.80333352</v>
      </c>
    </row>
    <row r="16" spans="1:18" x14ac:dyDescent="0.3">
      <c r="A16" s="40"/>
      <c r="B16" s="40"/>
      <c r="I16" s="21"/>
      <c r="J16" s="20"/>
    </row>
    <row r="17" spans="1:13" x14ac:dyDescent="0.3">
      <c r="A17" s="1" t="s">
        <v>3</v>
      </c>
      <c r="B17" s="2">
        <f>(B14/B13)-1+B15</f>
        <v>0.75</v>
      </c>
      <c r="E17" s="45"/>
      <c r="F17" s="46"/>
      <c r="G17" s="47"/>
      <c r="H17" s="47"/>
      <c r="I17" s="48"/>
      <c r="J17" s="46"/>
      <c r="K17" s="49"/>
      <c r="L17" s="49"/>
      <c r="M17" s="49"/>
    </row>
    <row r="18" spans="1:13" x14ac:dyDescent="0.3">
      <c r="A18" s="1" t="s">
        <v>5</v>
      </c>
      <c r="B18" s="33">
        <f>R4</f>
        <v>0</v>
      </c>
      <c r="E18" s="45"/>
      <c r="F18" s="46"/>
      <c r="G18" s="47"/>
      <c r="H18" s="47"/>
      <c r="I18" s="48"/>
      <c r="J18" s="46"/>
      <c r="K18" s="49"/>
      <c r="L18" s="49"/>
      <c r="M18" s="49"/>
    </row>
    <row r="19" spans="1:13" x14ac:dyDescent="0.3">
      <c r="A19" s="7" t="s">
        <v>6</v>
      </c>
      <c r="B19" s="34">
        <f>B9*B17</f>
        <v>48113423.999999993</v>
      </c>
      <c r="E19" s="49"/>
      <c r="F19" s="49"/>
      <c r="G19" s="49"/>
      <c r="H19" s="49"/>
      <c r="I19" s="49"/>
      <c r="J19" s="49"/>
      <c r="K19" s="50"/>
      <c r="L19" s="49"/>
      <c r="M19" s="49"/>
    </row>
    <row r="20" spans="1:13" x14ac:dyDescent="0.3">
      <c r="B20" s="3"/>
      <c r="E20" s="51"/>
      <c r="F20" s="52"/>
      <c r="G20" s="53"/>
      <c r="H20" s="53"/>
      <c r="I20" s="52"/>
      <c r="J20" s="52"/>
      <c r="K20" s="49"/>
      <c r="L20" s="49"/>
      <c r="M20" s="49"/>
    </row>
    <row r="21" spans="1:13" x14ac:dyDescent="0.3">
      <c r="A21" s="1" t="s">
        <v>33</v>
      </c>
      <c r="B21" s="3">
        <v>25000</v>
      </c>
      <c r="E21" s="51"/>
      <c r="F21" s="52"/>
      <c r="G21" s="54"/>
      <c r="H21" s="54"/>
      <c r="I21" s="51"/>
      <c r="J21" s="51"/>
      <c r="K21" s="49"/>
      <c r="L21" s="49"/>
      <c r="M21" s="49"/>
    </row>
    <row r="22" spans="1:13" ht="15.75" thickBot="1" x14ac:dyDescent="0.35">
      <c r="A22" s="1" t="s">
        <v>34</v>
      </c>
      <c r="B22" s="3">
        <v>2</v>
      </c>
      <c r="E22" s="51"/>
      <c r="F22" s="52"/>
      <c r="G22" s="54"/>
      <c r="H22" s="54"/>
      <c r="I22" s="51"/>
      <c r="J22" s="51"/>
      <c r="K22" s="49"/>
      <c r="L22" s="49"/>
      <c r="M22" s="49"/>
    </row>
    <row r="23" spans="1:13" ht="15.75" thickBot="1" x14ac:dyDescent="0.35">
      <c r="A23" s="1" t="s">
        <v>11</v>
      </c>
      <c r="B23" s="8">
        <f>B21*B5*B22</f>
        <v>49750000</v>
      </c>
      <c r="E23" s="51"/>
      <c r="F23" s="52"/>
      <c r="G23" s="54"/>
      <c r="H23" s="54"/>
      <c r="I23" s="51"/>
      <c r="J23" s="51"/>
      <c r="K23" s="49"/>
      <c r="L23" s="49"/>
      <c r="M23" s="49"/>
    </row>
    <row r="24" spans="1:13" x14ac:dyDescent="0.3">
      <c r="E24" s="51"/>
      <c r="F24" s="55"/>
      <c r="G24" s="56"/>
      <c r="H24" s="56"/>
      <c r="I24" s="50"/>
      <c r="J24" s="50"/>
      <c r="K24" s="49"/>
      <c r="L24" s="49"/>
      <c r="M24" s="49"/>
    </row>
    <row r="25" spans="1:13" x14ac:dyDescent="0.3">
      <c r="A25" s="1" t="s">
        <v>7</v>
      </c>
      <c r="B25" s="9" t="s">
        <v>8</v>
      </c>
      <c r="E25" s="51"/>
      <c r="F25" s="55"/>
      <c r="G25" s="56"/>
      <c r="H25" s="56"/>
      <c r="I25" s="50"/>
      <c r="J25" s="50"/>
      <c r="K25" s="49"/>
      <c r="L25" s="49"/>
      <c r="M25" s="49"/>
    </row>
    <row r="26" spans="1:13" x14ac:dyDescent="0.3">
      <c r="E26" s="51"/>
      <c r="F26" s="55"/>
      <c r="G26" s="56"/>
      <c r="H26" s="56"/>
      <c r="I26" s="50"/>
      <c r="J26" s="50"/>
      <c r="K26" s="49"/>
      <c r="L26" s="49"/>
      <c r="M26" s="49"/>
    </row>
    <row r="27" spans="1:13" x14ac:dyDescent="0.3">
      <c r="A27" s="1">
        <v>1</v>
      </c>
      <c r="B27" s="4">
        <f>B19</f>
        <v>48113423.999999993</v>
      </c>
      <c r="E27" s="51"/>
      <c r="F27" s="55"/>
      <c r="G27" s="56"/>
      <c r="H27" s="56"/>
      <c r="I27" s="50"/>
      <c r="J27" s="50"/>
      <c r="K27" s="49"/>
      <c r="L27" s="49"/>
      <c r="M27" s="49"/>
    </row>
    <row r="28" spans="1:13" x14ac:dyDescent="0.3">
      <c r="A28" s="1">
        <v>2</v>
      </c>
      <c r="B28" s="4">
        <f>B27*1.05</f>
        <v>50519095.199999996</v>
      </c>
      <c r="E28" s="51"/>
      <c r="F28" s="55"/>
      <c r="G28" s="56"/>
      <c r="H28" s="56"/>
      <c r="I28" s="50"/>
      <c r="J28" s="50"/>
      <c r="K28" s="49"/>
      <c r="L28" s="49"/>
      <c r="M28" s="49"/>
    </row>
    <row r="29" spans="1:13" ht="15.75" thickBot="1" x14ac:dyDescent="0.35">
      <c r="A29" s="1">
        <v>3</v>
      </c>
      <c r="B29" s="4">
        <f t="shared" ref="B29:B36" si="4">B28*1.05</f>
        <v>53045049.960000001</v>
      </c>
      <c r="E29" s="51"/>
      <c r="F29" s="55"/>
      <c r="G29" s="56"/>
      <c r="H29" s="56"/>
      <c r="I29" s="50"/>
      <c r="J29" s="50"/>
      <c r="K29" s="49"/>
      <c r="L29" s="49"/>
      <c r="M29" s="49"/>
    </row>
    <row r="30" spans="1:13" x14ac:dyDescent="0.3">
      <c r="A30" s="10">
        <v>4</v>
      </c>
      <c r="B30" s="11">
        <f t="shared" si="4"/>
        <v>55697302.458000004</v>
      </c>
      <c r="E30" s="51"/>
      <c r="F30" s="55"/>
      <c r="G30" s="56"/>
      <c r="H30" s="56"/>
      <c r="I30" s="50"/>
      <c r="J30" s="50"/>
      <c r="K30" s="49"/>
      <c r="L30" s="49"/>
      <c r="M30" s="49"/>
    </row>
    <row r="31" spans="1:13" x14ac:dyDescent="0.3">
      <c r="A31" s="12">
        <v>5</v>
      </c>
      <c r="B31" s="13">
        <f t="shared" si="4"/>
        <v>58482167.580900006</v>
      </c>
      <c r="E31" s="51"/>
      <c r="F31" s="55"/>
      <c r="G31" s="56"/>
      <c r="H31" s="56"/>
      <c r="I31" s="50"/>
      <c r="J31" s="50"/>
      <c r="K31" s="49"/>
      <c r="L31" s="49"/>
      <c r="M31" s="49"/>
    </row>
    <row r="32" spans="1:13" x14ac:dyDescent="0.3">
      <c r="A32" s="12">
        <v>6</v>
      </c>
      <c r="B32" s="13">
        <f t="shared" si="4"/>
        <v>61406275.959945008</v>
      </c>
      <c r="E32" s="51"/>
      <c r="F32" s="55"/>
      <c r="G32" s="56"/>
      <c r="H32" s="56"/>
      <c r="I32" s="50"/>
      <c r="J32" s="50"/>
      <c r="K32" s="49"/>
      <c r="L32" s="49"/>
      <c r="M32" s="49"/>
    </row>
    <row r="33" spans="1:13" x14ac:dyDescent="0.3">
      <c r="A33" s="12">
        <v>7</v>
      </c>
      <c r="B33" s="13">
        <f t="shared" si="4"/>
        <v>64476589.757942259</v>
      </c>
      <c r="E33" s="51"/>
      <c r="F33" s="55"/>
      <c r="G33" s="56"/>
      <c r="H33" s="56"/>
      <c r="I33" s="50"/>
      <c r="J33" s="50"/>
      <c r="K33" s="49"/>
      <c r="L33" s="49"/>
      <c r="M33" s="49"/>
    </row>
    <row r="34" spans="1:13" ht="15.75" thickBot="1" x14ac:dyDescent="0.35">
      <c r="A34" s="17">
        <v>8</v>
      </c>
      <c r="B34" s="18">
        <f t="shared" si="4"/>
        <v>67700419.245839372</v>
      </c>
      <c r="E34" s="49"/>
      <c r="F34" s="49"/>
      <c r="G34" s="49"/>
      <c r="H34" s="49"/>
      <c r="I34" s="46"/>
      <c r="J34" s="50"/>
      <c r="K34" s="49"/>
      <c r="L34" s="49"/>
      <c r="M34" s="49"/>
    </row>
    <row r="35" spans="1:13" ht="15.75" thickBot="1" x14ac:dyDescent="0.35">
      <c r="A35" s="19">
        <v>9</v>
      </c>
      <c r="B35" s="18">
        <f t="shared" si="4"/>
        <v>71085440.208131343</v>
      </c>
      <c r="E35" s="52"/>
      <c r="F35" s="52"/>
      <c r="G35" s="52"/>
      <c r="H35" s="52"/>
      <c r="I35" s="57"/>
      <c r="J35" s="57"/>
      <c r="K35" s="49"/>
      <c r="L35" s="49"/>
      <c r="M35" s="49"/>
    </row>
    <row r="36" spans="1:13" ht="15.75" thickBot="1" x14ac:dyDescent="0.35">
      <c r="A36" s="19">
        <v>10</v>
      </c>
      <c r="B36" s="18">
        <f t="shared" si="4"/>
        <v>74639712.218537912</v>
      </c>
      <c r="E36" s="49"/>
      <c r="F36" s="49"/>
      <c r="G36" s="49"/>
      <c r="H36" s="49"/>
      <c r="I36" s="49"/>
      <c r="J36" s="49"/>
      <c r="K36" s="49"/>
      <c r="L36" s="49"/>
      <c r="M36" s="49"/>
    </row>
    <row r="37" spans="1:13" x14ac:dyDescent="0.3">
      <c r="B37" s="13"/>
      <c r="E37" s="49"/>
      <c r="F37" s="49"/>
      <c r="G37" s="49"/>
      <c r="H37" s="49"/>
      <c r="I37" s="49"/>
      <c r="J37" s="49"/>
      <c r="K37" s="49"/>
      <c r="L37" s="49"/>
      <c r="M37" s="49"/>
    </row>
    <row r="38" spans="1:13" x14ac:dyDescent="0.3">
      <c r="B38" s="13"/>
      <c r="E38" s="49"/>
      <c r="F38" s="49"/>
      <c r="G38" s="49"/>
      <c r="H38" s="49"/>
      <c r="I38" s="49"/>
      <c r="J38" s="49"/>
      <c r="K38" s="49"/>
      <c r="L38" s="49"/>
      <c r="M38" s="49"/>
    </row>
    <row r="39" spans="1:13" ht="15.75" thickBot="1" x14ac:dyDescent="0.35"/>
    <row r="40" spans="1:13" x14ac:dyDescent="0.3">
      <c r="A40" s="10" t="s">
        <v>9</v>
      </c>
      <c r="B40" s="11">
        <f>ROUNDDOWN((8/3),0)</f>
        <v>2</v>
      </c>
    </row>
    <row r="41" spans="1:13" x14ac:dyDescent="0.3">
      <c r="A41" s="12" t="s">
        <v>10</v>
      </c>
      <c r="B41" s="16">
        <v>30000</v>
      </c>
    </row>
    <row r="42" spans="1:13" ht="15.75" thickBot="1" x14ac:dyDescent="0.35">
      <c r="A42" s="14"/>
      <c r="B42" s="15">
        <f>B41*B40*B5</f>
        <v>59700000</v>
      </c>
    </row>
  </sheetData>
  <mergeCells count="8">
    <mergeCell ref="E35:H35"/>
    <mergeCell ref="E15:H15"/>
    <mergeCell ref="F2:F3"/>
    <mergeCell ref="G2:H2"/>
    <mergeCell ref="I2:J2"/>
    <mergeCell ref="F20:F23"/>
    <mergeCell ref="G20:H20"/>
    <mergeCell ref="I20:J20"/>
  </mergeCells>
  <phoneticPr fontId="2" type="noConversion"/>
  <pageMargins left="0.7" right="0.7" top="0.75" bottom="0.75" header="0.3" footer="0.3"/>
  <pageSetup paperSize="9" scale="6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yoon</dc:creator>
  <cp:lastModifiedBy>daniel yoon</cp:lastModifiedBy>
  <cp:lastPrinted>2026-09-04T01:29:10Z</cp:lastPrinted>
  <dcterms:created xsi:type="dcterms:W3CDTF">2025-03-26T01:02:50Z</dcterms:created>
  <dcterms:modified xsi:type="dcterms:W3CDTF">2026-10-23T02:48:25Z</dcterms:modified>
</cp:coreProperties>
</file>